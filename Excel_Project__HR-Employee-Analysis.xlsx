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tables/table3.xml" ContentType="application/vnd.openxmlformats-officedocument.spreadsheetml.table+xml"/>
  <Override PartName="/xl/slicers/slicer5.xml" ContentType="application/vnd.ms-excel.slicer+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tables/table4.xml" ContentType="application/vnd.openxmlformats-officedocument.spreadsheetml.tab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slicers/slicer6.xml" ContentType="application/vnd.ms-excel.slicer+xml"/>
  <Override PartName="/xl/charts/chartEx2.xml" ContentType="application/vnd.ms-office.chartex+xml"/>
  <Override PartName="/xl/charts/style7.xml" ContentType="application/vnd.ms-office.chartstyle+xml"/>
  <Override PartName="/xl/charts/colors7.xml" ContentType="application/vnd.ms-office.chartcolorstyle+xml"/>
  <Override PartName="/xl/drawings/drawing10.xml" ContentType="application/vnd.openxmlformats-officedocument.drawing+xml"/>
  <Override PartName="/xl/slicers/slicer7.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ml.chartshapes+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2.xml" ContentType="application/vnd.openxmlformats-officedocument.drawingml.chartshapes+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defaultThemeVersion="166925"/>
  <mc:AlternateContent xmlns:mc="http://schemas.openxmlformats.org/markup-compatibility/2006">
    <mc:Choice Requires="x15">
      <x15ac:absPath xmlns:x15ac="http://schemas.microsoft.com/office/spreadsheetml/2010/11/ac" url="C:\Users\atifh\Downloads\"/>
    </mc:Choice>
  </mc:AlternateContent>
  <xr:revisionPtr revIDLastSave="0" documentId="8_{0BBF0D91-B056-4732-BCED-3AB2244EB2B8}" xr6:coauthVersionLast="47" xr6:coauthVersionMax="47" xr10:uidLastSave="{00000000-0000-0000-0000-000000000000}"/>
  <bookViews>
    <workbookView xWindow="-108" yWindow="-108" windowWidth="23256" windowHeight="12456" firstSheet="7" activeTab="10" xr2:uid="{5AF5D4AF-D10E-435D-ABA8-B0D0494ED23E}"/>
  </bookViews>
  <sheets>
    <sheet name="Dashboad_Image" sheetId="20" r:id="rId1"/>
    <sheet name="Data" sheetId="1" r:id="rId2"/>
    <sheet name="KPI" sheetId="7" r:id="rId3"/>
    <sheet name="Rating" sheetId="9" r:id="rId4"/>
    <sheet name="Employee by Gender" sheetId="10" r:id="rId5"/>
    <sheet name="Education-wise Attrition" sheetId="12" r:id="rId6"/>
    <sheet name="Attrition By Job Role" sheetId="13" r:id="rId7"/>
    <sheet name="Department-wise Attrition" sheetId="14" r:id="rId8"/>
    <sheet name="Attrition By Age-Group" sheetId="15" r:id="rId9"/>
    <sheet name="Attrition By Marriage Status" sheetId="16" r:id="rId10"/>
    <sheet name="Dashboard" sheetId="8" r:id="rId11"/>
  </sheets>
  <definedNames>
    <definedName name="_xlchart.v1.0" hidden="1">'Attrition By Job Role'!$E$4:$E$12</definedName>
    <definedName name="_xlchart.v1.1" hidden="1">'Attrition By Job Role'!$F$3</definedName>
    <definedName name="_xlchart.v1.10" hidden="1">'Attrition By Job Role'!$E$4:$E$12</definedName>
    <definedName name="_xlchart.v1.11" hidden="1">'Attrition By Job Role'!$F$3</definedName>
    <definedName name="_xlchart.v1.12" hidden="1">'Attrition By Job Role'!$F$4:$F$12</definedName>
    <definedName name="_xlchart.v1.2" hidden="1">'Attrition By Job Role'!$F$4:$F$12</definedName>
    <definedName name="_xlchart.v1.7" hidden="1">'Attrition By Job Role'!$E$4:$E$12</definedName>
    <definedName name="_xlchart.v1.8" hidden="1">'Attrition By Job Role'!$F$3</definedName>
    <definedName name="_xlchart.v1.9" hidden="1">'Attrition By Job Role'!$F$4:$F$12</definedName>
    <definedName name="_xlchart.v2.3" hidden="1">'Attrition By Marriage Status'!$D$4:$D$6</definedName>
    <definedName name="_xlchart.v2.4" hidden="1">'Attrition By Marriage Status'!$E$4:$E$6</definedName>
    <definedName name="_xlchart.v2.5" hidden="1">'Attrition By Marriage Status'!$D$4:$D$6</definedName>
    <definedName name="_xlchart.v2.6" hidden="1">'Attrition By Marriage Status'!$E$4:$E$6</definedName>
    <definedName name="Slicer_Department">#N/A</definedName>
    <definedName name="Slicer_Education">#N/A</definedName>
    <definedName name="Slicer_Education_Field2">#N/A</definedName>
    <definedName name="Slicer_Gender2">#N/A</definedName>
    <definedName name="Slicer_Job_Role">#N/A</definedName>
    <definedName name="Slicer_Marital_Status">#N/A</definedName>
  </definedNames>
  <calcPr calcId="191029"/>
  <pivotCaches>
    <pivotCache cacheId="234"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13" l="1"/>
  <c r="F4" i="13"/>
  <c r="E5" i="13"/>
  <c r="F5" i="13"/>
  <c r="E6" i="13"/>
  <c r="F6" i="13"/>
  <c r="E7" i="13"/>
  <c r="F7" i="13"/>
  <c r="E8" i="13"/>
  <c r="F8" i="13"/>
  <c r="E9" i="13"/>
  <c r="F9" i="13"/>
  <c r="E10" i="13"/>
  <c r="F10" i="13"/>
  <c r="E11" i="13"/>
  <c r="F11" i="13"/>
  <c r="E12" i="13"/>
  <c r="F12" i="13"/>
  <c r="E4" i="16"/>
  <c r="E5" i="16"/>
  <c r="D5" i="16"/>
  <c r="D6" i="16"/>
  <c r="D4" i="16"/>
  <c r="D5" i="14"/>
  <c r="D6" i="14"/>
  <c r="D4" i="14"/>
  <c r="E6" i="16"/>
  <c r="E5" i="14"/>
  <c r="F5" i="14" s="1"/>
  <c r="E6" i="14"/>
  <c r="F6" i="14" s="1"/>
  <c r="E4" i="14"/>
  <c r="F4" i="14" s="1"/>
  <c r="B13" i="10"/>
  <c r="B12" i="10"/>
  <c r="B6" i="9"/>
  <c r="E7" i="7"/>
  <c r="D7" i="7"/>
  <c r="C7" i="7"/>
  <c r="B7" i="7"/>
  <c r="A7" i="7"/>
  <c r="C12" i="10" l="1"/>
  <c r="C13" i="10"/>
  <c r="C6" i="9"/>
  <c r="B7" i="9"/>
  <c r="C7" i="9" s="1"/>
</calcChain>
</file>

<file path=xl/sharedStrings.xml><?xml version="1.0" encoding="utf-8"?>
<sst xmlns="http://schemas.openxmlformats.org/spreadsheetml/2006/main" count="19224" uniqueCount="1573">
  <si>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</si>
  <si>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</si>
  <si>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</si>
  <si>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</si>
  <si>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</si>
  <si>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</si>
  <si>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</si>
  <si>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</si>
  <si>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</si>
  <si>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</si>
  <si>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</si>
  <si>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</si>
  <si>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</si>
  <si>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</si>
  <si>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</si>
  <si>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</si>
  <si>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</si>
  <si>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</si>
  <si>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</si>
  <si>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</si>
  <si>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</si>
  <si>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</si>
  <si>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</si>
  <si>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</si>
  <si>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</si>
  <si>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</si>
  <si>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</si>
  <si>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</si>
  <si>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</si>
  <si>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</si>
  <si>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</si>
  <si>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</si>
  <si>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</si>
  <si>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</si>
  <si>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</si>
  <si>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</si>
  <si>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</si>
  <si>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</si>
  <si>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</si>
  <si>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</si>
  <si>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</si>
  <si>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</si>
  <si>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</si>
  <si>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</si>
  <si>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</si>
  <si>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</si>
  <si>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</si>
  <si>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</si>
  <si>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</si>
  <si>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</si>
  <si>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</si>
  <si>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</si>
  <si>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</si>
  <si>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</si>
  <si>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</si>
  <si>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</si>
  <si>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</si>
  <si>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</si>
  <si>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</si>
  <si>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</si>
  <si>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</si>
  <si>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</si>
  <si>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</si>
  <si>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</si>
  <si>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</si>
  <si>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</si>
  <si>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</si>
  <si>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</si>
  <si>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</si>
  <si>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</si>
  <si>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</si>
  <si>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</si>
  <si>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</si>
  <si>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</si>
  <si>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</si>
  <si>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</si>
  <si>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</si>
  <si>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</si>
  <si>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</si>
  <si>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</si>
  <si>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</si>
  <si>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</si>
  <si>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</si>
  <si>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</si>
  <si>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</si>
  <si>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</si>
  <si>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</si>
  <si>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</si>
  <si>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</si>
  <si>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</si>
  <si>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</si>
  <si>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</si>
  <si>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</si>
  <si>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</si>
  <si>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</si>
  <si>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</si>
  <si>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</si>
  <si>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</si>
  <si>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</si>
  <si>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</si>
  <si>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</si>
  <si>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</si>
  <si>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</si>
  <si>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</si>
  <si>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</si>
  <si>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</si>
  <si>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</si>
  <si>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</si>
  <si>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</si>
  <si>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</si>
  <si>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</si>
  <si>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</si>
  <si>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</si>
  <si>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</si>
  <si>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</si>
  <si>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</si>
  <si>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</si>
  <si>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</si>
  <si>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</si>
  <si>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</si>
  <si>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</si>
  <si>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</si>
  <si>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</si>
  <si>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</si>
  <si>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</si>
  <si>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</si>
  <si>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</si>
  <si>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</si>
  <si>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</si>
  <si>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</si>
  <si>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</si>
  <si>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</si>
  <si>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</si>
  <si>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</si>
  <si>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</si>
  <si>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</si>
  <si>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</si>
  <si>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</si>
  <si>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</si>
  <si>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</si>
  <si>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</si>
  <si>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</si>
  <si>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</si>
  <si>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</si>
  <si>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</si>
  <si>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</si>
  <si>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</si>
  <si>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</si>
  <si>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</si>
  <si>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</si>
  <si>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</si>
  <si>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</si>
  <si>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</si>
  <si>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</si>
  <si>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</si>
  <si>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</si>
  <si>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</si>
  <si>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</si>
  <si>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</si>
  <si>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</si>
  <si>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</si>
  <si>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</si>
  <si>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</si>
  <si>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</si>
  <si>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</si>
  <si>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</si>
  <si>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</si>
  <si>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</si>
  <si>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</si>
  <si>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</si>
  <si>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</si>
  <si>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</si>
  <si>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</si>
  <si>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</si>
  <si>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</si>
  <si>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</si>
  <si>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</si>
  <si>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</si>
  <si>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</si>
  <si>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</si>
  <si>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</si>
  <si>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</si>
  <si>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</si>
  <si>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</si>
  <si>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</si>
  <si>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</si>
  <si>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</si>
  <si>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</si>
  <si>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</si>
  <si>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</si>
  <si>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</si>
  <si>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</si>
  <si>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</si>
  <si>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</si>
  <si>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</si>
  <si>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</si>
  <si>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</si>
  <si>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</si>
  <si>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</si>
  <si>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</si>
  <si>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</si>
  <si>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</si>
  <si>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</si>
  <si>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</si>
  <si>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</si>
  <si>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</si>
  <si>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</si>
  <si>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</si>
  <si>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</si>
  <si>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</si>
  <si>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</si>
  <si>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</si>
  <si>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</si>
  <si>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</si>
  <si>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</si>
  <si>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</si>
  <si>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</si>
  <si>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</si>
  <si>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</si>
  <si>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</si>
  <si>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</si>
  <si>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</si>
  <si>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</si>
  <si>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</si>
  <si>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</si>
  <si>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</si>
  <si>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</si>
  <si>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</si>
  <si>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</si>
  <si>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</si>
  <si>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</si>
  <si>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</si>
  <si>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</si>
  <si>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</si>
  <si>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</si>
  <si>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</si>
  <si>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</si>
  <si>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</si>
  <si>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</si>
  <si>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</si>
  <si>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</si>
  <si>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</si>
  <si>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</si>
  <si>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</si>
  <si>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</si>
  <si>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</si>
  <si>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</si>
  <si>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</si>
  <si>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</si>
  <si>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</si>
  <si>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</si>
  <si>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</si>
  <si>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</si>
  <si>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</si>
  <si>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</si>
  <si>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</si>
  <si>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</si>
  <si>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</si>
  <si>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</si>
  <si>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</si>
  <si>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</si>
  <si>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</si>
  <si>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</si>
  <si>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</si>
  <si>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</si>
  <si>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</si>
  <si>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</si>
  <si>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</si>
  <si>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</si>
  <si>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</si>
  <si>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</si>
  <si>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</si>
  <si>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</si>
  <si>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</si>
  <si>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</si>
  <si>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</si>
  <si>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</si>
  <si>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</si>
  <si>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</si>
  <si>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</si>
  <si>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</si>
  <si>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</si>
  <si>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</si>
  <si>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</si>
  <si>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</si>
  <si>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</si>
  <si>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</si>
  <si>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</si>
  <si>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</si>
  <si>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</si>
  <si>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</si>
  <si>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</si>
  <si>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</si>
  <si>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</si>
  <si>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</si>
  <si>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</si>
  <si>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</si>
  <si>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</si>
  <si>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</si>
  <si>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</si>
  <si>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</si>
  <si>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</si>
  <si>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</si>
  <si>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</si>
  <si>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</si>
  <si>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</si>
  <si>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</si>
  <si>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</si>
  <si>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</si>
  <si>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</si>
  <si>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</si>
  <si>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</si>
  <si>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</si>
  <si>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</si>
  <si>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</si>
  <si>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</si>
  <si>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</si>
  <si>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</si>
  <si>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</si>
  <si>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</si>
  <si>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</si>
  <si>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</si>
  <si>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</si>
  <si>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</si>
  <si>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</si>
  <si>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</si>
  <si>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</si>
  <si>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</si>
  <si>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</si>
  <si>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</si>
  <si>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</si>
  <si>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</si>
  <si>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</si>
  <si>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</si>
  <si>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</si>
  <si>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</si>
  <si>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</si>
  <si>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</si>
  <si>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</si>
  <si>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</si>
  <si>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</si>
  <si>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</si>
  <si>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</si>
  <si>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</si>
  <si>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</si>
  <si>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</si>
  <si>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</si>
  <si>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</si>
  <si>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</si>
  <si>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</si>
  <si>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</si>
  <si>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</si>
  <si>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</si>
  <si>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</si>
  <si>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</si>
  <si>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</si>
  <si>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</si>
  <si>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</si>
  <si>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</si>
  <si>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</si>
  <si>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</si>
  <si>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</si>
  <si>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</si>
  <si>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</si>
  <si>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</si>
  <si>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</si>
  <si>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</si>
  <si>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</si>
  <si>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</si>
  <si>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</si>
  <si>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</si>
  <si>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</si>
  <si>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</si>
  <si>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</si>
  <si>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</si>
  <si>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</si>
  <si>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</si>
  <si>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</si>
  <si>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</si>
  <si>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</si>
  <si>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</si>
  <si>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</si>
  <si>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</si>
  <si>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</si>
  <si>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</si>
  <si>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</si>
  <si>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</si>
  <si>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</si>
  <si>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</si>
  <si>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</si>
  <si>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</si>
  <si>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</si>
  <si>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</si>
  <si>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</si>
  <si>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</si>
  <si>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</si>
  <si>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</si>
  <si>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</si>
  <si>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</si>
  <si>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</si>
  <si>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</si>
  <si>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</si>
  <si>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</si>
  <si>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</si>
  <si>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</si>
  <si>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</si>
  <si>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</si>
  <si>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</si>
  <si>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</si>
  <si>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</si>
  <si>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</si>
  <si>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</si>
  <si>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</si>
  <si>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</si>
  <si>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</si>
  <si>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</si>
  <si>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</si>
  <si>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</si>
  <si>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</si>
  <si>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</si>
  <si>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</si>
  <si>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</si>
  <si>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</si>
  <si>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</si>
  <si>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</si>
  <si>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</si>
  <si>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</si>
  <si>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</si>
  <si>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</si>
  <si>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</si>
  <si>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</si>
  <si>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</si>
  <si>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</si>
  <si>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</si>
  <si>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</si>
  <si>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</si>
  <si>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</si>
  <si>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</si>
  <si>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</si>
  <si>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</si>
  <si>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</si>
  <si>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</si>
  <si>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</si>
  <si>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</si>
  <si>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</si>
  <si>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</si>
  <si>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</si>
  <si>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</si>
  <si>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</si>
  <si>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</si>
  <si>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</si>
  <si>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</si>
  <si>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</si>
  <si>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</si>
  <si>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</si>
  <si>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</si>
  <si>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</si>
  <si>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</si>
  <si>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</si>
  <si>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</si>
  <si>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</si>
  <si>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</si>
  <si>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</si>
  <si>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</si>
  <si>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</si>
  <si>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</si>
  <si>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</si>
  <si>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</si>
  <si>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</si>
  <si>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</si>
  <si>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</si>
  <si>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</si>
  <si>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</si>
  <si>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</si>
  <si>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</si>
  <si>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</si>
  <si>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</si>
  <si>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</si>
  <si>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</si>
  <si>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</si>
  <si>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</si>
  <si>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</si>
  <si>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</si>
  <si>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</si>
  <si>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</si>
  <si>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</si>
  <si>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</si>
  <si>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</si>
  <si>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</si>
  <si>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</si>
  <si>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</si>
  <si>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</si>
  <si>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</si>
  <si>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</si>
  <si>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</si>
  <si>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</si>
  <si>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</si>
  <si>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</si>
  <si>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</si>
  <si>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</si>
  <si>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</si>
  <si>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</si>
  <si>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</si>
  <si>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</si>
  <si>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</si>
  <si>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</si>
  <si>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</si>
  <si>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</si>
  <si>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</si>
  <si>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</si>
  <si>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</si>
  <si>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</si>
  <si>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</si>
  <si>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</si>
  <si>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</si>
  <si>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</si>
  <si>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</si>
  <si>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</si>
  <si>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</si>
  <si>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</si>
  <si>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</si>
  <si>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</si>
  <si>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</si>
  <si>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</si>
  <si>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</si>
  <si>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</si>
  <si>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</si>
  <si>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</si>
  <si>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</si>
  <si>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</si>
  <si>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</si>
  <si>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</si>
  <si>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</si>
  <si>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</si>
  <si>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</si>
  <si>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</si>
  <si>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</si>
  <si>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</si>
  <si>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</si>
  <si>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</si>
  <si>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</si>
  <si>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</si>
  <si>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</si>
  <si>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</si>
  <si>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</si>
  <si>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</si>
  <si>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</si>
  <si>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</si>
  <si>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</si>
  <si>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</si>
  <si>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</si>
  <si>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</si>
  <si>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</si>
  <si>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</si>
  <si>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</si>
  <si>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</si>
  <si>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</si>
  <si>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</si>
  <si>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</si>
  <si>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</si>
  <si>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</si>
  <si>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</si>
  <si>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</si>
  <si>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</si>
  <si>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</si>
  <si>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</si>
  <si>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</si>
  <si>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</si>
  <si>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</si>
  <si>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</si>
  <si>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</si>
  <si>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</si>
  <si>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</si>
  <si>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</si>
  <si>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</si>
  <si>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</si>
  <si>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</si>
  <si>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</si>
  <si>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</si>
  <si>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</si>
  <si>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</si>
  <si>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</si>
  <si>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</si>
  <si>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</si>
  <si>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</si>
  <si>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</si>
  <si>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</si>
  <si>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</si>
  <si>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</si>
  <si>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</si>
  <si>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</si>
  <si>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</si>
  <si>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</si>
  <si>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</si>
  <si>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</si>
  <si>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</si>
  <si>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</si>
  <si>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</si>
  <si>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</si>
  <si>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</si>
  <si>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</si>
  <si>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</si>
  <si>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</si>
  <si>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</si>
  <si>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</si>
  <si>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</si>
  <si>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</si>
  <si>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</si>
  <si>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</si>
  <si>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</si>
  <si>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</si>
  <si>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</si>
  <si>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</si>
  <si>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</si>
  <si>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</si>
  <si>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</si>
  <si>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</si>
  <si>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</si>
  <si>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</si>
  <si>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</si>
  <si>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</si>
  <si>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</si>
  <si>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</si>
  <si>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</si>
  <si>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</si>
  <si>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</si>
  <si>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</si>
  <si>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</si>
  <si>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</si>
  <si>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</si>
  <si>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</si>
  <si>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</si>
  <si>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</si>
  <si>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</si>
  <si>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</si>
  <si>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</si>
  <si>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</si>
  <si>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</si>
  <si>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</si>
  <si>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</si>
  <si>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</si>
  <si>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</si>
  <si>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</si>
  <si>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</si>
  <si>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</si>
  <si>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</si>
  <si>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</si>
  <si>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</si>
  <si>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</si>
  <si>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</si>
  <si>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</si>
  <si>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</si>
  <si>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</si>
  <si>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</si>
  <si>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</si>
  <si>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</si>
  <si>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</si>
  <si>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</si>
  <si>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</si>
  <si>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</si>
  <si>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</si>
  <si>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</si>
  <si>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</si>
  <si>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</si>
  <si>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</si>
  <si>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</si>
  <si>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</si>
  <si>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</si>
  <si>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</si>
  <si>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</si>
  <si>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</si>
  <si>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</si>
  <si>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</si>
  <si>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</si>
  <si>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</si>
  <si>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</si>
  <si>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</si>
  <si>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</si>
  <si>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</si>
  <si>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</si>
  <si>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</si>
  <si>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</si>
  <si>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</si>
  <si>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</si>
  <si>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</si>
  <si>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</si>
  <si>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</si>
  <si>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</si>
  <si>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</si>
  <si>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</si>
  <si>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</si>
  <si>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</si>
  <si>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</si>
  <si>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</si>
  <si>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</si>
  <si>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</si>
  <si>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</si>
  <si>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</si>
  <si>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</si>
  <si>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</si>
  <si>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</si>
  <si>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</si>
  <si>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</si>
  <si>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</si>
  <si>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</si>
  <si>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</si>
  <si>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</si>
  <si>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</si>
  <si>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</si>
  <si>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</si>
  <si>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</si>
  <si>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</si>
  <si>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</si>
  <si>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</si>
  <si>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</si>
  <si>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</si>
  <si>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</si>
  <si>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</si>
  <si>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</si>
  <si>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</si>
  <si>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</si>
  <si>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</si>
  <si>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</si>
  <si>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</si>
  <si>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</si>
  <si>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</si>
  <si>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</si>
  <si>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</si>
  <si>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</si>
  <si>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</si>
  <si>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</si>
  <si>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</si>
  <si>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</si>
  <si>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</si>
  <si>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</si>
  <si>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</si>
  <si>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</si>
  <si>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</si>
  <si>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</si>
  <si>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</si>
  <si>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</si>
  <si>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</si>
  <si>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</si>
  <si>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</si>
  <si>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</si>
  <si>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</si>
  <si>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</si>
  <si>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</si>
  <si>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</si>
  <si>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</si>
  <si>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</si>
  <si>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</si>
  <si>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</si>
  <si>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</si>
  <si>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</si>
  <si>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</si>
  <si>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</si>
  <si>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</si>
  <si>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</si>
  <si>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</si>
  <si>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</si>
  <si>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</si>
  <si>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</si>
  <si>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</si>
  <si>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</si>
  <si>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</si>
  <si>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</si>
  <si>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</si>
  <si>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</si>
  <si>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</si>
  <si>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</si>
  <si>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</si>
  <si>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</si>
  <si>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</si>
  <si>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</si>
  <si>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</si>
  <si>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</si>
  <si>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</si>
  <si>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</si>
  <si>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</si>
  <si>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</si>
  <si>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</si>
  <si>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</si>
  <si>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</si>
  <si>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</si>
  <si>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</si>
  <si>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</si>
  <si>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</si>
  <si>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</si>
  <si>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</si>
  <si>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</si>
  <si>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</si>
  <si>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</si>
  <si>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</si>
  <si>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</si>
  <si>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</si>
  <si>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</si>
  <si>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</si>
  <si>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</si>
  <si>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</si>
  <si>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</si>
  <si>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</si>
  <si>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</si>
  <si>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</si>
  <si>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</si>
  <si>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</si>
  <si>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</si>
  <si>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</si>
  <si>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</si>
  <si>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</si>
  <si>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</si>
  <si>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</si>
  <si>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</si>
  <si>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</si>
  <si>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</si>
  <si>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</si>
  <si>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</si>
  <si>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</si>
  <si>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</si>
  <si>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</si>
  <si>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</si>
  <si>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</si>
  <si>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</si>
  <si>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</si>
  <si>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</si>
  <si>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</si>
  <si>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</si>
  <si>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</si>
  <si>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</si>
  <si>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</si>
  <si>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</si>
  <si>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</si>
  <si>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</si>
  <si>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</si>
  <si>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</si>
  <si>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</si>
  <si>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</si>
  <si>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</si>
  <si>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</si>
  <si>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</si>
  <si>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</si>
  <si>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</si>
  <si>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</si>
  <si>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</si>
  <si>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</si>
  <si>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</si>
  <si>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</si>
  <si>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</si>
  <si>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</si>
  <si>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</si>
  <si>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</si>
  <si>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</si>
  <si>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</si>
  <si>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</si>
  <si>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</si>
  <si>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</si>
  <si>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</si>
  <si>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</si>
  <si>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</si>
  <si>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</si>
  <si>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</si>
  <si>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</si>
  <si>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</si>
  <si>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</si>
  <si>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</si>
  <si>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</si>
  <si>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</si>
  <si>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</si>
  <si>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</si>
  <si>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</si>
  <si>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</si>
  <si>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</si>
  <si>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</si>
  <si>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</si>
  <si>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</si>
  <si>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</si>
  <si>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</si>
  <si>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</si>
  <si>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</si>
  <si>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</si>
  <si>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</si>
  <si>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</si>
  <si>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</si>
  <si>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</si>
  <si>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</si>
  <si>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</si>
  <si>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</si>
  <si>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</si>
  <si>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</si>
  <si>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</si>
  <si>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</si>
  <si>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</si>
  <si>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</si>
  <si>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</si>
  <si>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</si>
  <si>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</si>
  <si>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</si>
  <si>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</si>
  <si>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</si>
  <si>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</si>
  <si>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</si>
  <si>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</si>
  <si>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</si>
  <si>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</si>
  <si>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</si>
  <si>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</si>
  <si>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</si>
  <si>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</si>
  <si>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</si>
  <si>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</si>
  <si>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</si>
  <si>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</si>
  <si>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</si>
  <si>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</si>
  <si>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</si>
  <si>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</si>
  <si>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</si>
  <si>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</si>
  <si>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</si>
  <si>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</si>
  <si>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</si>
  <si>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</si>
  <si>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</si>
  <si>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</si>
  <si>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</si>
  <si>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</si>
  <si>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</si>
  <si>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</si>
  <si>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</si>
  <si>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</si>
  <si>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</si>
  <si>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</si>
  <si>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</si>
  <si>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</si>
  <si>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</si>
  <si>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</si>
  <si>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</si>
  <si>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</si>
  <si>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</si>
  <si>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</si>
  <si>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</si>
  <si>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</si>
  <si>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</si>
  <si>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</si>
  <si>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</si>
  <si>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</si>
  <si>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</si>
  <si>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</si>
  <si>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</si>
  <si>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</si>
  <si>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</si>
  <si>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</si>
  <si>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</si>
  <si>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</si>
  <si>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</si>
  <si>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</si>
  <si>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</si>
  <si>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</si>
  <si>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</si>
  <si>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</si>
  <si>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</si>
  <si>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</si>
  <si>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</si>
  <si>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</si>
  <si>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</si>
  <si>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</si>
  <si>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</si>
  <si>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</si>
  <si>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</si>
  <si>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</si>
  <si>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</si>
  <si>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</si>
  <si>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</si>
  <si>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</si>
  <si>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</si>
  <si>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</si>
  <si>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</si>
  <si>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</si>
  <si>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</si>
  <si>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</si>
  <si>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</si>
  <si>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</si>
  <si>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</si>
  <si>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</si>
  <si>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</si>
  <si>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</si>
  <si>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</si>
  <si>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</si>
  <si>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</si>
  <si>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</si>
  <si>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</si>
  <si>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</si>
  <si>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</si>
  <si>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</si>
  <si>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</si>
  <si>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</si>
  <si>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</si>
  <si>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</si>
  <si>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</si>
  <si>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</si>
  <si>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</si>
  <si>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</si>
  <si>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</si>
  <si>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</si>
  <si>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</si>
  <si>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</si>
  <si>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</si>
  <si>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</si>
  <si>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</si>
  <si>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</si>
  <si>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</si>
  <si>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</si>
  <si>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</si>
  <si>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</si>
  <si>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</si>
  <si>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</si>
  <si>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</si>
  <si>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</si>
  <si>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</si>
  <si>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</si>
  <si>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</si>
  <si>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</si>
  <si>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</si>
  <si>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</si>
  <si>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</si>
  <si>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</si>
  <si>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</si>
  <si>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</si>
  <si>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</si>
  <si>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</si>
  <si>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</si>
  <si>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</si>
  <si>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</si>
  <si>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</si>
  <si>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</si>
  <si>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</si>
  <si>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</si>
  <si>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</si>
  <si>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</si>
  <si>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</si>
  <si>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</si>
  <si>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</si>
  <si>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</si>
  <si>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</si>
  <si>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</si>
  <si>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</si>
  <si>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</si>
  <si>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</si>
  <si>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</si>
  <si>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</si>
  <si>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</si>
  <si>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</si>
  <si>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</si>
  <si>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</si>
  <si>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</si>
  <si>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</si>
  <si>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</si>
  <si>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</si>
  <si>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</si>
  <si>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</si>
  <si>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</si>
  <si>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</si>
  <si>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</si>
  <si>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</si>
  <si>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</si>
  <si>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</si>
  <si>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</si>
  <si>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</si>
  <si>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</si>
  <si>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</si>
  <si>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</si>
  <si>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</si>
  <si>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</si>
  <si>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</si>
  <si>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</si>
  <si>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</si>
  <si>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</si>
  <si>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</si>
  <si>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</si>
  <si>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</si>
  <si>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</si>
  <si>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</si>
  <si>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</si>
  <si>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</si>
  <si>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</si>
  <si>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</si>
  <si>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</si>
  <si>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</si>
  <si>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</si>
  <si>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</si>
  <si>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</si>
  <si>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</si>
  <si>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</si>
  <si>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</si>
  <si>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</si>
  <si>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</si>
  <si>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</si>
  <si>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</si>
  <si>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</si>
  <si>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</si>
  <si>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</si>
  <si>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</si>
  <si>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</si>
  <si>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</si>
  <si>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</si>
  <si>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</si>
  <si>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</si>
  <si>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</si>
  <si>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</si>
  <si>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</si>
  <si>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</si>
  <si>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</si>
  <si>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</si>
  <si>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</si>
  <si>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</si>
  <si>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</si>
  <si>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</si>
  <si>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</si>
  <si>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</si>
  <si>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</si>
  <si>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</si>
  <si>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</si>
  <si>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</si>
  <si>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</si>
  <si>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</si>
  <si>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</si>
  <si>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</si>
  <si>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</si>
  <si>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</si>
  <si>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</si>
  <si>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</si>
  <si>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</si>
  <si>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</si>
  <si>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</si>
  <si>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</si>
  <si>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</si>
  <si>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</si>
  <si>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</si>
  <si>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</si>
  <si>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</si>
  <si>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</si>
  <si>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</si>
  <si>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</si>
  <si>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</si>
  <si>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</si>
  <si>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</si>
  <si>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</si>
  <si>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</si>
  <si>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</si>
  <si>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</si>
  <si>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</si>
  <si>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</si>
  <si>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</si>
  <si>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</si>
  <si>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</si>
  <si>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</si>
  <si>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</si>
  <si>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</si>
  <si>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</si>
  <si>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</si>
  <si>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</si>
  <si>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</si>
  <si>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</si>
  <si>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</si>
  <si>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</si>
  <si>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</si>
  <si>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</si>
  <si>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</si>
  <si>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</si>
  <si>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</si>
  <si>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</si>
  <si>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</si>
  <si>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</si>
  <si>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</si>
  <si>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</si>
  <si>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</si>
  <si>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</si>
  <si>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</si>
  <si>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</si>
  <si>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</si>
  <si>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</si>
  <si>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</si>
  <si>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</si>
  <si>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</si>
  <si>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</si>
  <si>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</si>
  <si>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</si>
  <si>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</si>
  <si>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</si>
  <si>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</si>
  <si>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</si>
  <si>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</si>
  <si>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</si>
  <si>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</si>
  <si>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</si>
  <si>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</si>
  <si>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</si>
  <si>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</si>
  <si>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</si>
  <si>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</si>
  <si>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</si>
  <si>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</si>
  <si>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</si>
  <si>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</si>
  <si>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</si>
  <si>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</si>
  <si>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</si>
  <si>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</si>
  <si>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</si>
  <si>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</si>
  <si>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</si>
  <si>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</si>
  <si>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</si>
  <si>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</si>
  <si>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</si>
  <si>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</si>
  <si>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</si>
  <si>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</si>
  <si>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</si>
  <si>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</si>
  <si>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</si>
  <si>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</si>
  <si>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</si>
  <si>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</si>
  <si>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</si>
  <si>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</si>
  <si>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</si>
  <si>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</si>
  <si>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</si>
  <si>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</si>
  <si>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</si>
  <si>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</si>
  <si>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</si>
  <si>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</si>
  <si>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</si>
  <si>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</si>
  <si>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</si>
  <si>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</si>
  <si>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</si>
  <si>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</si>
  <si>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</si>
  <si>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</si>
  <si>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</si>
  <si>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</si>
  <si>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</si>
  <si>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</si>
  <si>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</si>
  <si>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</si>
  <si>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</si>
  <si>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</si>
  <si>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</si>
  <si>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</si>
  <si>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</si>
  <si>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</si>
  <si>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</si>
  <si>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</si>
  <si>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</si>
  <si>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</si>
  <si>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</si>
  <si>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</si>
  <si>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</si>
  <si>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</si>
  <si>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</si>
  <si>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</si>
  <si>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</si>
  <si>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</si>
  <si>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</si>
  <si>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</si>
  <si>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</si>
  <si>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</si>
  <si>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</si>
  <si>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</si>
  <si>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</si>
  <si>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</si>
  <si>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</si>
  <si>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</si>
  <si>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</si>
  <si>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</si>
  <si>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</si>
  <si>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</si>
  <si>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</si>
  <si>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</si>
  <si>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</si>
  <si>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</si>
  <si>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</si>
  <si>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</si>
  <si>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</si>
  <si>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</si>
  <si>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</si>
  <si>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</si>
  <si>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</si>
  <si>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</si>
  <si>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</si>
  <si>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</si>
  <si>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</si>
  <si>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</si>
  <si>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</si>
  <si>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</si>
  <si>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</si>
  <si>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</si>
  <si>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</si>
  <si>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</si>
  <si>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</si>
  <si>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</si>
  <si>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</si>
  <si>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</si>
  <si>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</si>
  <si>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</si>
  <si>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</si>
  <si>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</si>
  <si>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</si>
  <si>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</si>
  <si>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</si>
  <si>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</si>
  <si>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</si>
  <si>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</si>
  <si>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</si>
  <si>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</si>
  <si>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</si>
  <si>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</si>
  <si>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</si>
  <si>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</si>
  <si>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</si>
  <si>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</si>
  <si>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</si>
  <si>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</si>
  <si>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</si>
  <si>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</si>
  <si>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</si>
  <si>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</si>
  <si>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</si>
  <si>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</si>
  <si>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</si>
  <si>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</si>
  <si>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</si>
  <si>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</si>
  <si>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</si>
  <si>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</si>
  <si>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</si>
  <si>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</si>
  <si>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</si>
  <si>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</si>
  <si>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</si>
  <si>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</si>
  <si>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</si>
  <si>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</si>
  <si>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</si>
  <si>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</si>
  <si>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</si>
  <si>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</si>
  <si>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</si>
  <si>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</si>
  <si>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</si>
  <si>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</si>
  <si>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</si>
  <si>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</si>
  <si>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</si>
  <si>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</si>
  <si>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</si>
  <si>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</si>
  <si>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</si>
  <si>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</si>
  <si>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</si>
  <si>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</si>
  <si>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</si>
  <si>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</si>
  <si>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</si>
  <si>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</si>
  <si>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</si>
  <si>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</si>
  <si>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</si>
  <si>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</si>
  <si>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</si>
  <si>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</si>
  <si>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</si>
  <si>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</si>
  <si>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</si>
  <si>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</si>
  <si>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</si>
  <si>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</si>
  <si>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</si>
  <si>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</si>
  <si>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</si>
  <si>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</si>
  <si>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</si>
  <si>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</si>
  <si>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</si>
  <si>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</si>
  <si>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</si>
  <si>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</si>
  <si>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</si>
  <si>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</si>
  <si>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</si>
  <si>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</si>
  <si>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</si>
  <si>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</si>
  <si>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</si>
  <si>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</si>
  <si>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</si>
  <si>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</si>
  <si>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</si>
  <si>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</si>
  <si>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</si>
  <si>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</si>
  <si>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</si>
  <si>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</si>
  <si>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</si>
  <si>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</si>
  <si>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</si>
  <si>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</si>
  <si>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</si>
  <si>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</si>
  <si>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</si>
  <si>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</si>
  <si>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</si>
  <si>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</si>
  <si>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</si>
  <si>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</si>
  <si>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</si>
  <si>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</si>
  <si>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</si>
  <si>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</si>
  <si>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</si>
  <si>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</si>
  <si>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</si>
  <si>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</si>
  <si>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</si>
  <si>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</si>
  <si>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</si>
  <si>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</si>
  <si>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</si>
  <si>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</si>
  <si>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</si>
  <si>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</si>
  <si>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</si>
  <si>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</si>
  <si>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</si>
  <si>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</si>
  <si>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</si>
  <si>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</si>
  <si>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</si>
  <si>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</si>
  <si>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</si>
  <si>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</si>
  <si>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</si>
  <si>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</si>
  <si>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</si>
  <si>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</si>
  <si>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</si>
  <si>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</si>
  <si>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</si>
  <si>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</si>
  <si>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</si>
  <si>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</si>
  <si>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</si>
  <si>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</si>
  <si>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</si>
  <si>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</si>
  <si>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</si>
  <si>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</si>
  <si>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</si>
  <si>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</si>
  <si>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</si>
  <si>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</si>
  <si>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</si>
  <si>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</si>
  <si>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</si>
  <si>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</si>
  <si>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</si>
  <si>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</si>
  <si>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</si>
  <si>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</si>
  <si>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</si>
  <si>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</si>
  <si>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</si>
  <si>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</si>
  <si>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</si>
  <si>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</si>
  <si>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</si>
  <si>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</si>
  <si>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</si>
  <si>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</si>
  <si>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</si>
  <si>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</si>
  <si>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</si>
  <si>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</si>
  <si>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</si>
  <si>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</si>
  <si>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</si>
  <si>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</si>
  <si>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</si>
  <si>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</si>
  <si>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</si>
  <si>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</si>
  <si>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</si>
  <si>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</si>
  <si>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</si>
  <si>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</si>
  <si>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</si>
  <si>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</si>
  <si>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</si>
  <si>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</si>
  <si>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</si>
  <si>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</si>
  <si>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</si>
  <si>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</si>
  <si>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</si>
  <si>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</si>
  <si>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</si>
  <si>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</si>
  <si>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</si>
  <si>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</si>
  <si>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</si>
  <si>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</si>
  <si>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</si>
  <si>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</si>
  <si>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</si>
  <si>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</si>
  <si>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</si>
  <si>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</si>
  <si>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</si>
  <si>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</si>
  <si>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</si>
  <si>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</si>
  <si>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</si>
  <si>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</si>
  <si>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</si>
  <si>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</si>
  <si>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</si>
  <si>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</si>
  <si>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</si>
  <si>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</si>
  <si>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</si>
  <si>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</si>
  <si>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</si>
  <si>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</si>
  <si>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</si>
  <si>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</si>
  <si>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</si>
  <si>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</si>
  <si>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</si>
  <si>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</si>
  <si>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</si>
  <si>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</si>
  <si>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</si>
  <si>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</si>
  <si>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</si>
  <si>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</si>
  <si>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</si>
  <si>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</si>
  <si>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</si>
  <si>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</si>
  <si>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</si>
  <si>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</si>
  <si>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</si>
  <si>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</si>
  <si>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</si>
  <si>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</si>
  <si>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Attrition Count</t>
  </si>
  <si>
    <t>Average Age</t>
  </si>
  <si>
    <t>Active Employees</t>
  </si>
  <si>
    <t>Attrition Rate</t>
  </si>
  <si>
    <t>Average of Job Satisfaction</t>
  </si>
  <si>
    <t>Rating</t>
  </si>
  <si>
    <t>Remaining Rating</t>
  </si>
  <si>
    <t>Row Labels</t>
  </si>
  <si>
    <t>Grand Total</t>
  </si>
  <si>
    <t>Count of CF_attrition count</t>
  </si>
  <si>
    <t>Attrition Percentage</t>
  </si>
  <si>
    <t>Column1</t>
  </si>
  <si>
    <t>Column2</t>
  </si>
  <si>
    <t>Column3</t>
  </si>
  <si>
    <t>Column4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</si>
</sst>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2"/>
      <color theme="1"/>
      <name val="Calibri"/>
      <family val="2"/>
      <scheme val="minor"/>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2" fillId="0" borderId="0" xfId="0" applyFont="1"/>
    <xf numFmtId="9" fontId="0" fillId="0" borderId="0" xfId="1" applyFont="1"/>
    <xf numFmtId="10" fontId="0" fillId="0" borderId="0" xfId="1" applyNumberFormat="1" applyFont="1"/>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0" borderId="0" xfId="0" applyNumberFormat="1"/>
    <xf numFmtId="0" fontId="0" fillId="0" borderId="0" xfId="0" applyFill="1"/>
    <xf numFmtId="0" fontId="0" fillId="0" borderId="0" xfId="0" applyAlignment="1">
      <alignment vertical="top"/>
    </xf>
  </cellXfs>
  <cellStyles count="2">
    <cellStyle name="Normal" xfId="0" builtinId="0"/>
    <cellStyle name="Percent" xfId="1" builtinId="5"/>
  </cellStyles>
  <dxfs count="10">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ont>
        <b val="0"/>
        <i val="0"/>
        <strike val="0"/>
        <condense val="0"/>
        <extend val="0"/>
        <outline val="0"/>
        <shadow val="0"/>
        <u val="none"/>
        <vertAlign val="baseline"/>
        <sz val="12"/>
        <color theme="1"/>
        <name val="Calibri"/>
        <family val="2"/>
        <scheme val="minor"/>
      </font>
      <numFmt numFmtId="14" formatCode="0.00%"/>
    </dxf>
    <dxf>
      <font>
        <b val="0"/>
        <i val="0"/>
        <strike val="0"/>
        <condense val="0"/>
        <extend val="0"/>
        <outline val="0"/>
        <shadow val="0"/>
        <u val="none"/>
        <vertAlign val="baseline"/>
        <sz val="12"/>
        <color theme="1"/>
        <name val="Calibri"/>
        <family val="2"/>
        <scheme val="minor"/>
      </font>
    </dxf>
  </dxfs>
  <tableStyles count="0" defaultTableStyle="TableStyleMedium2" defaultPivotStyle="PivotStyleLight16"/>
  <colors>
    <mruColors>
      <color rgb="FF63A4F7"/>
      <color rgb="FF6666FF"/>
      <color rgb="FF48599F"/>
      <color rgb="FF8770FC"/>
      <color rgb="FFA6A1AB"/>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303-364E-BB2E-395230F4C85C}"/>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8303-364E-BB2E-395230F4C85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0-8303-364E-BB2E-395230F4C85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378239431236139"/>
          <c:y val="1.9943623910916461E-2"/>
          <c:w val="0.54675467546754675"/>
          <c:h val="0.94307400379506645"/>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61-8742-BEAF-DF5750B7B81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9261-8742-BEAF-DF5750B7B81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'Employee by Gender'!$C$12:$C$13</c:f>
              <c:numCache>
                <c:formatCode>0%</c:formatCode>
                <c:ptCount val="2"/>
                <c:pt idx="0">
                  <c:v>0.4</c:v>
                </c:pt>
                <c:pt idx="1">
                  <c:v>0.6</c:v>
                </c:pt>
              </c:numCache>
            </c:numRef>
          </c:val>
          <c:extLst>
            <c:ext xmlns:c16="http://schemas.microsoft.com/office/drawing/2014/chart" uri="{C3380CC4-5D6E-409C-BE32-E72D297353CC}">
              <c16:uniqueId val="{00000000-9261-8742-BEAF-DF5750B7B81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70C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[Excel_Project__HR-Employee-Analysis.xlsx]Education-wise Attrition!Education-wise Attrition</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5BB1-504A-B23B-1636E50F3757}"/>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604260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solidFill>
          <a:schemeClr val="accent4">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F3-3E4B-B154-B6EA24DF0CE1}"/>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2-EDF3-3E4B-B154-B6EA24DF0CE1}"/>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3-EDF3-3E4B-B154-B6EA24DF0CE1}"/>
              </c:ext>
            </c:extLst>
          </c:dPt>
          <c:dLbls>
            <c:dLbl>
              <c:idx val="0"/>
              <c:tx>
                <c:rich>
                  <a:bodyPr/>
                  <a:lstStyle/>
                  <a:p>
                    <a:fld id="{1A4B44E3-3AC7-496E-8397-B17A2AB3F8C9}" type="CELLRANGE">
                      <a:rPr lang="en-US"/>
                      <a:pPr/>
                      <a:t>[CELLRANGE]</a:t>
                    </a:fld>
                    <a:r>
                      <a:rPr lang="en-US" baseline="0"/>
                      <a:t>, </a:t>
                    </a:r>
                    <a:fld id="{34114735-FBFF-465F-B0F2-BABAAB51A36C}" type="VALUE">
                      <a:rPr lang="en-US" baseline="0"/>
                      <a:pPr/>
                      <a:t>[VALUE]</a:t>
                    </a:fld>
                    <a:r>
                      <a:rPr lang="en-US" baseline="0"/>
                      <a:t>, </a:t>
                    </a:r>
                    <a:fld id="{769B9005-97A6-4D3C-B9B5-EDAE601B7B18}" type="PERCENTAGE">
                      <a:rPr lang="en-US" baseline="0"/>
                      <a:pPr/>
                      <a:t>[PERCENTAGE]</a:t>
                    </a:fld>
                    <a:endParaRPr lang="en-US" baseline="0"/>
                  </a:p>
                </c:rich>
              </c:tx>
              <c:dLblPos val="outEnd"/>
              <c:showLegendKey val="0"/>
              <c:showVal val="1"/>
              <c:showCatName val="0"/>
              <c:showSerName val="0"/>
              <c:showPercent val="1"/>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DF3-3E4B-B154-B6EA24DF0CE1}"/>
                </c:ext>
              </c:extLst>
            </c:dLbl>
            <c:dLbl>
              <c:idx val="1"/>
              <c:tx>
                <c:rich>
                  <a:bodyPr/>
                  <a:lstStyle/>
                  <a:p>
                    <a:fld id="{BFD3B6C2-EE7B-408B-9C89-88DF1D147C22}" type="CELLRANGE">
                      <a:rPr lang="en-US"/>
                      <a:pPr/>
                      <a:t>[CELLRANGE]</a:t>
                    </a:fld>
                    <a:r>
                      <a:rPr lang="en-US" baseline="0"/>
                      <a:t>, </a:t>
                    </a:r>
                    <a:fld id="{56F3B031-5603-451B-B406-238DCDDDEE9F}" type="VALUE">
                      <a:rPr lang="en-US" baseline="0"/>
                      <a:pPr/>
                      <a:t>[VALUE]</a:t>
                    </a:fld>
                    <a:r>
                      <a:rPr lang="en-US" baseline="0"/>
                      <a:t>, </a:t>
                    </a:r>
                    <a:fld id="{FD9F4B21-A45D-471F-BC2F-D345FE71A8B9}" type="PERCENTAGE">
                      <a:rPr lang="en-US" baseline="0"/>
                      <a:pPr/>
                      <a:t>[PERCENTAGE]</a:t>
                    </a:fld>
                    <a:endParaRPr lang="en-US" baseline="0"/>
                  </a:p>
                </c:rich>
              </c:tx>
              <c:dLblPos val="outEnd"/>
              <c:showLegendKey val="0"/>
              <c:showVal val="1"/>
              <c:showCatName val="0"/>
              <c:showSerName val="0"/>
              <c:showPercent val="1"/>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DF3-3E4B-B154-B6EA24DF0CE1}"/>
                </c:ext>
              </c:extLst>
            </c:dLbl>
            <c:dLbl>
              <c:idx val="2"/>
              <c:tx>
                <c:rich>
                  <a:bodyPr/>
                  <a:lstStyle/>
                  <a:p>
                    <a:fld id="{9683B5B9-78F6-4360-8B83-401741223301}" type="CELLRANGE">
                      <a:rPr lang="en-US"/>
                      <a:pPr/>
                      <a:t>[CELLRANGE]</a:t>
                    </a:fld>
                    <a:r>
                      <a:rPr lang="en-US" baseline="0"/>
                      <a:t>, </a:t>
                    </a:r>
                    <a:fld id="{6F45C9AE-21B2-4045-A7E9-42B861DED8D2}" type="VALUE">
                      <a:rPr lang="en-US" baseline="0"/>
                      <a:pPr/>
                      <a:t>[VALUE]</a:t>
                    </a:fld>
                    <a:r>
                      <a:rPr lang="en-US" baseline="0"/>
                      <a:t>, </a:t>
                    </a:r>
                    <a:fld id="{6F2329A6-B9BD-4148-8005-4E1537D945EB}" type="PERCENTAGE">
                      <a:rPr lang="en-US" baseline="0"/>
                      <a:pPr/>
                      <a:t>[PERCENTAGE]</a:t>
                    </a:fld>
                    <a:endParaRPr lang="en-US" baseline="0"/>
                  </a:p>
                </c:rich>
              </c:tx>
              <c:dLblPos val="outEnd"/>
              <c:showLegendKey val="0"/>
              <c:showVal val="1"/>
              <c:showCatName val="0"/>
              <c:showSerName val="0"/>
              <c:showPercent val="1"/>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DF3-3E4B-B154-B6EA24DF0CE1}"/>
                </c:ext>
              </c:extLst>
            </c:dLbl>
            <c:spPr>
              <a:solidFill>
                <a:srgbClr val="63A4F7"/>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'Department-wise Attrition'!$F$4:$F$6</c:f>
              <c:numCache>
                <c:formatCode>0.00%</c:formatCode>
                <c:ptCount val="3"/>
                <c:pt idx="0">
                  <c:v>5.0632911392405063E-2</c:v>
                </c:pt>
                <c:pt idx="1">
                  <c:v>0.56118143459915615</c:v>
                </c:pt>
                <c:pt idx="2">
                  <c:v>0.3881856540084388</c:v>
                </c:pt>
              </c:numCache>
            </c:numRef>
          </c:val>
          <c:extLst>
            <c:ext xmlns:c15="http://schemas.microsoft.com/office/drawing/2012/chart" uri="{02D57815-91ED-43cb-92C2-25804820EDAC}">
              <c15:datalabelsRange>
                <c15:f>'Department-wise Attrition'!$D$4:$D$6</c15:f>
                <c15:dlblRangeCache>
                  <c:ptCount val="3"/>
                  <c:pt idx="0">
                    <c:v>HR</c:v>
                  </c:pt>
                  <c:pt idx="1">
                    <c:v>R&amp;D</c:v>
                  </c:pt>
                  <c:pt idx="2">
                    <c:v>Sales</c:v>
                  </c:pt>
                </c15:dlblRangeCache>
              </c15:datalabelsRange>
            </c:ext>
            <c:ext xmlns:c16="http://schemas.microsoft.com/office/drawing/2014/chart" uri="{C3380CC4-5D6E-409C-BE32-E72D297353CC}">
              <c16:uniqueId val="{00000000-EDF3-3E4B-B154-B6EA24DF0CE1}"/>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70C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[Excel_Project__HR-Employee-Analysis.xlsx]Attrition By Age-Group!Attrition By Age-Group</c:name>
    <c:fmtId val="2"/>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Age-Group'!$B$3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EF16-2A45-881A-73FC42DB7FCA}"/>
            </c:ext>
          </c:extLst>
        </c:ser>
        <c:dLbls>
          <c:showLegendKey val="0"/>
          <c:showVal val="0"/>
          <c:showCatName val="0"/>
          <c:showSerName val="0"/>
          <c:showPercent val="0"/>
          <c:showBubbleSize val="0"/>
        </c:dLbls>
        <c:gapWidth val="100"/>
        <c:overlap val="-27"/>
        <c:axId val="1694148112"/>
        <c:axId val="1666484432"/>
      </c:bar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3A4F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79569892473119"/>
          <c:y val="5.7971014492753624E-2"/>
          <c:w val="0.65591397849462363"/>
          <c:h val="0.88405797101449279"/>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88-D948-9500-993CCCAD96D4}"/>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EF88-D948-9500-993CCCAD96D4}"/>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4-EF88-D948-9500-993CCCAD96D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doughnutChart>
        <c:varyColors val="1"/>
        <c:ser>
          <c:idx val="0"/>
          <c:order val="0"/>
          <c:dPt>
            <c:idx val="0"/>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1-2050-A140-8018-58D20CE32266}"/>
              </c:ext>
            </c:extLst>
          </c:dPt>
          <c:dPt>
            <c:idx val="1"/>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3-2050-A140-8018-58D20CE32266}"/>
              </c:ext>
            </c:extLst>
          </c:dPt>
          <c:val>
            <c:numRef>
              <c:f>'Employee by Gender'!$C$12:$C$13</c:f>
              <c:numCache>
                <c:formatCode>0%</c:formatCode>
                <c:ptCount val="2"/>
                <c:pt idx="0">
                  <c:v>0.4</c:v>
                </c:pt>
                <c:pt idx="1">
                  <c:v>0.6</c:v>
                </c:pt>
              </c:numCache>
            </c:numRef>
          </c:val>
          <c:extLst>
            <c:ext xmlns:c16="http://schemas.microsoft.com/office/drawing/2014/chart" uri="{C3380CC4-5D6E-409C-BE32-E72D297353CC}">
              <c16:uniqueId val="{00000004-2050-A140-8018-58D20CE3226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45-5747-BFE6-B8866D7151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45-5747-BFE6-B8866D715152}"/>
              </c:ext>
            </c:extLst>
          </c:dPt>
          <c:val>
            <c:numRef>
              <c:f>'Employee by Gender'!$C$12:$C$13</c:f>
              <c:numCache>
                <c:formatCode>0%</c:formatCode>
                <c:ptCount val="2"/>
                <c:pt idx="0">
                  <c:v>0.4</c:v>
                </c:pt>
                <c:pt idx="1">
                  <c:v>0.6</c:v>
                </c:pt>
              </c:numCache>
            </c:numRef>
          </c:val>
          <c:extLst>
            <c:ext xmlns:c16="http://schemas.microsoft.com/office/drawing/2014/chart" uri="{C3380CC4-5D6E-409C-BE32-E72D297353CC}">
              <c16:uniqueId val="{00000004-F445-5747-BFE6-B8866D71515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[Excel_Project__HR-Employee-Analysis.xlsx]Education-wise Attrition!Education-wise Attrition</c:name>
    <c:fmtId val="3"/>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28743932217069"/>
          <c:y val="3.9303915741932894E-3"/>
          <c:w val="0.73271256067782919"/>
          <c:h val="0.7893468919932366"/>
        </c:manualLayout>
      </c:layout>
      <c:barChart>
        <c:barDir val="bar"/>
        <c:grouping val="clustered"/>
        <c:varyColors val="0"/>
        <c:ser>
          <c:idx val="0"/>
          <c:order val="0"/>
          <c:tx>
            <c:strRef>
              <c:f>'Education-wise Attrition'!$B$3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67F3-DD48-B89B-5A1DE33123D9}"/>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93-CC4A-864B-7C380233025D}"/>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7B93-CC4A-864B-7C380233025D}"/>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7B93-CC4A-864B-7C380233025D}"/>
              </c:ext>
            </c:extLst>
          </c:dPt>
          <c:dLbls>
            <c:dLbl>
              <c:idx val="0"/>
              <c:tx>
                <c:rich>
                  <a:bodyPr/>
                  <a:lstStyle/>
                  <a:p>
                    <a:fld id="{B9E71F0A-73EE-4098-B68E-9B02F303A0BA}" type="CELLRANGE">
                      <a:rPr lang="en-US"/>
                      <a:pPr/>
                      <a:t>[CELLRANGE]</a:t>
                    </a:fld>
                    <a:r>
                      <a:rPr lang="en-US" baseline="0"/>
                      <a:t>, </a:t>
                    </a:r>
                    <a:fld id="{C52BF444-C558-4CC4-9E39-8AEEA23A5B8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B93-CC4A-864B-7C380233025D}"/>
                </c:ext>
              </c:extLst>
            </c:dLbl>
            <c:dLbl>
              <c:idx val="1"/>
              <c:tx>
                <c:rich>
                  <a:bodyPr/>
                  <a:lstStyle/>
                  <a:p>
                    <a:fld id="{C1727AB3-3C8F-4D03-A66C-FF81A4BDE627}" type="CELLRANGE">
                      <a:rPr lang="en-US"/>
                      <a:pPr/>
                      <a:t>[CELLRANGE]</a:t>
                    </a:fld>
                    <a:r>
                      <a:rPr lang="en-US" baseline="0"/>
                      <a:t>, </a:t>
                    </a:r>
                    <a:fld id="{37CDA103-F1B5-42AE-9D91-7BB816605775}"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layout>
                    <c:manualLayout>
                      <c:w val="0.62359397737221978"/>
                      <c:h val="0.14994368468253561"/>
                    </c:manualLayout>
                  </c15:layout>
                  <c15:dlblFieldTable/>
                  <c15:showDataLabelsRange val="1"/>
                </c:ext>
                <c:ext xmlns:c16="http://schemas.microsoft.com/office/drawing/2014/chart" uri="{C3380CC4-5D6E-409C-BE32-E72D297353CC}">
                  <c16:uniqueId val="{00000003-7B93-CC4A-864B-7C380233025D}"/>
                </c:ext>
              </c:extLst>
            </c:dLbl>
            <c:dLbl>
              <c:idx val="2"/>
              <c:tx>
                <c:rich>
                  <a:bodyPr/>
                  <a:lstStyle/>
                  <a:p>
                    <a:fld id="{47D57683-50CC-42A2-93D8-04E172FD7870}" type="CELLRANGE">
                      <a:rPr lang="en-US"/>
                      <a:pPr/>
                      <a:t>[CELLRANGE]</a:t>
                    </a:fld>
                    <a:r>
                      <a:rPr lang="en-US" baseline="0"/>
                      <a:t>, </a:t>
                    </a:r>
                    <a:fld id="{6F81EDEF-542A-4AD6-AF05-314A21517C97}" type="VALUE">
                      <a:rPr lang="en-US" baseline="0"/>
                      <a:pPr/>
                      <a:t>[VALUE]</a:t>
                    </a:fld>
                    <a:endParaRPr lang="en-US" baseline="0"/>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7B93-CC4A-864B-7C380233025D}"/>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'Department-wise Attrition'!$F$4:$F$6</c:f>
              <c:numCache>
                <c:formatCode>0.00%</c:formatCode>
                <c:ptCount val="3"/>
                <c:pt idx="0">
                  <c:v>5.0632911392405063E-2</c:v>
                </c:pt>
                <c:pt idx="1">
                  <c:v>0.56118143459915615</c:v>
                </c:pt>
                <c:pt idx="2">
                  <c:v>0.3881856540084388</c:v>
                </c:pt>
              </c:numCache>
            </c:numRef>
          </c:val>
          <c:extLst>
            <c:ext xmlns:c15="http://schemas.microsoft.com/office/drawing/2012/chart" uri="{02D57815-91ED-43cb-92C2-25804820EDAC}">
              <c15:datalabelsRange>
                <c15:f>'Department-wise Attrition'!$D$4:$D$6</c15:f>
                <c15:dlblRangeCache>
                  <c:ptCount val="3"/>
                  <c:pt idx="0">
                    <c:v>HR</c:v>
                  </c:pt>
                  <c:pt idx="1">
                    <c:v>R&amp;D</c:v>
                  </c:pt>
                  <c:pt idx="2">
                    <c:v>Sales</c:v>
                  </c:pt>
                </c15:dlblRangeCache>
              </c15:datalabelsRange>
            </c:ext>
            <c:ext xmlns:c16="http://schemas.microsoft.com/office/drawing/2014/chart" uri="{C3380CC4-5D6E-409C-BE32-E72D297353CC}">
              <c16:uniqueId val="{00000006-7B93-CC4A-864B-7C380233025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[Excel_Project__HR-Employee-Analysis.xlsx]Attrition By Age-Group!Attrition By Age-Group</c:name>
    <c:fmtId val="4"/>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Age-Group'!$B$3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88AC-804D-9BEB-AA268CC33680}"/>
            </c:ext>
          </c:extLst>
        </c:ser>
        <c:dLbls>
          <c:showLegendKey val="0"/>
          <c:showVal val="0"/>
          <c:showCatName val="0"/>
          <c:showSerName val="0"/>
          <c:showPercent val="0"/>
          <c:showBubbleSize val="0"/>
        </c:dLbls>
        <c:gapWidth val="100"/>
        <c:overlap val="-27"/>
        <c:axId val="1694148112"/>
        <c:axId val="1666484432"/>
      </c:bar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treemap" uniqueId="{E7725989-8B5B-D341-8478-E6A4692692CA}">
          <cx:tx>
            <cx:txData>
              <cx:f>_xlchart.v1.1</cx:f>
              <cx:v>Attrition</cx:v>
            </cx:txData>
          </cx:tx>
          <cx:dataLabels pos="inEnd">
            <cx:visibility seriesName="0" categoryName="1" value="1"/>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title pos="t" align="ctr" overlay="0"/>
    <cx:plotArea>
      <cx:plotAreaRegion>
        <cx:series layoutId="funnel" uniqueId="{15126953-9A30-F845-82EC-D421AFC96F7C}">
          <cx:dataId val="0"/>
        </cx:series>
      </cx:plotAreaRegion>
      <cx:axis id="0">
        <cx:catScaling gapWidth="0.400000006"/>
        <cx:tickLabels/>
      </cx:axis>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_xlchart.v1.9</cx:f>
      </cx:numDim>
    </cx:data>
  </cx:chartData>
  <cx:chart>
    <cx:plotArea>
      <cx:plotAreaRegion>
        <cx:series layoutId="treemap" uniqueId="{E7725989-8B5B-D341-8478-E6A4692692CA}">
          <cx:tx>
            <cx:txData>
              <cx:f>_xlchart.v1.8</cx:f>
              <cx:v>Attrition</cx:v>
            </cx:txData>
          </cx:tx>
          <cx:dataLabels pos="inEnd">
            <cx:txPr>
              <a:bodyPr spcFirstLastPara="1" vertOverflow="ellipsis" horzOverflow="overflow" wrap="square" lIns="0" tIns="0" rIns="0" bIns="0" anchor="ctr" anchorCtr="1"/>
              <a:lstStyle/>
              <a:p>
                <a:pPr algn="ctr" rtl="0">
                  <a:defRPr sz="1100"/>
                </a:pPr>
                <a:endParaRPr lang="en-GB" sz="1100" b="0" i="0" u="none" strike="noStrike" baseline="0">
                  <a:solidFill>
                    <a:sysClr val="window" lastClr="FFFFFF">
                      <a:lumMod val="95000"/>
                    </a:sysClr>
                  </a:solidFill>
                  <a:latin typeface="Calibri" panose="020F0502020204030204"/>
                </a:endParaRPr>
              </a:p>
            </cx:txPr>
            <cx:visibility seriesName="0" categoryName="1" value="1"/>
          </cx:dataLabels>
          <cx:dataId val="0"/>
          <cx:layoutPr>
            <cx:parentLabelLayout val="overlapping"/>
          </cx:layoutPr>
        </cx:series>
      </cx:plotAreaRegion>
    </cx:plotArea>
  </cx:chart>
  <cx:spPr>
    <a:noFill/>
    <a:ln>
      <a:noFill/>
    </a:ln>
  </cx:spPr>
  <cx:printSettings>
    <cx:headerFooter alignWithMargins="1" differentOddEven="0" differentFirst="0"/>
    <cx:pageMargins l="0.69999999999999996" r="0.69999999999999996" t="0.75" b="0.75" header="0.29999999999999999" footer="0.29999999999999999"/>
    <cx:pageSetup paperSize="1" firstPageNumber="1" orientation="landscape" blackAndWhite="0" draft="0" useFirstPageNumber="0" horizontalDpi="600" verticalDpi="600" copies="1"/>
  </cx:printSettings>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_xlchart.v2.6</cx:f>
      </cx:numDim>
    </cx:data>
  </cx:chartData>
  <cx:chart>
    <cx:plotArea>
      <cx:plotAreaRegion>
        <cx:plotSurface>
          <cx:spPr>
            <a:noFill/>
            <a:ln>
              <a:noFill/>
            </a:ln>
          </cx:spPr>
        </cx:plotSurface>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s>
          <cx:dataId val="0"/>
        </cx:series>
      </cx:plotAreaRegion>
      <cx:axis id="0">
        <cx:catScaling gapWidth="0.0599999987"/>
        <cx:tickLabels/>
      </cx:axis>
    </cx:plotArea>
  </cx:chart>
  <cx:spPr>
    <a:noFill/>
    <a:ln>
      <a:solidFill>
        <a:schemeClr val="bg2">
          <a:lumMod val="75000"/>
        </a:schemeClr>
      </a:solidFill>
    </a:ln>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4">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26">
  <cs:axisTitle>
    <cs:lnRef idx="0"/>
    <cs:fillRef idx="0"/>
    <cs:effectRef idx="0"/>
    <cs:fontRef idx="minor">
      <a:schemeClr val="tx2"/>
    </cs:fontRef>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tx2"/>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microsoft.com/office/2014/relationships/chartEx" Target="../charts/chartEx2.xml"/></Relationships>
</file>

<file path=xl/drawings/_rels/drawing10.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chart" Target="../charts/chart8.xml"/><Relationship Id="rId7" Type="http://schemas.openxmlformats.org/officeDocument/2006/relationships/chart" Target="../charts/chart11.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microsoft.com/office/2014/relationships/chartEx" Target="../charts/chartEx3.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213437</xdr:colOff>
      <xdr:row>1</xdr:row>
      <xdr:rowOff>15258</xdr:rowOff>
    </xdr:to>
    <xdr:pic>
      <xdr:nvPicPr>
        <xdr:cNvPr id="3" name="Picture 2">
          <a:extLst>
            <a:ext uri="{FF2B5EF4-FFF2-40B4-BE49-F238E27FC236}">
              <a16:creationId xmlns:a16="http://schemas.microsoft.com/office/drawing/2014/main" id="{E2842D2B-3119-EB9E-E59D-8067D0816B12}"/>
            </a:ext>
          </a:extLst>
        </xdr:cNvPr>
        <xdr:cNvPicPr>
          <a:picLocks noChangeAspect="1"/>
        </xdr:cNvPicPr>
      </xdr:nvPicPr>
      <xdr:blipFill>
        <a:blip xmlns:r="http://schemas.openxmlformats.org/officeDocument/2006/relationships" r:embed="rId1"/>
        <a:stretch>
          <a:fillRect/>
        </a:stretch>
      </xdr:blipFill>
      <xdr:spPr>
        <a:xfrm>
          <a:off x="0" y="0"/>
          <a:ext cx="883997" cy="213378"/>
        </a:xfrm>
        <a:prstGeom prst="rect">
          <a:avLst/>
        </a:prstGeom>
      </xdr:spPr>
    </xdr:pic>
    <xdr:clientData/>
  </xdr:twoCellAnchor>
  <xdr:twoCellAnchor editAs="oneCell">
    <xdr:from>
      <xdr:col>1</xdr:col>
      <xdr:colOff>264160</xdr:colOff>
      <xdr:row>1</xdr:row>
      <xdr:rowOff>0</xdr:rowOff>
    </xdr:from>
    <xdr:to>
      <xdr:col>25</xdr:col>
      <xdr:colOff>467360</xdr:colOff>
      <xdr:row>31</xdr:row>
      <xdr:rowOff>41166</xdr:rowOff>
    </xdr:to>
    <xdr:pic>
      <xdr:nvPicPr>
        <xdr:cNvPr id="6" name="Picture 5">
          <a:extLst>
            <a:ext uri="{FF2B5EF4-FFF2-40B4-BE49-F238E27FC236}">
              <a16:creationId xmlns:a16="http://schemas.microsoft.com/office/drawing/2014/main" id="{5841867C-7868-DF43-081B-A5882C37D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934720" y="203200"/>
          <a:ext cx="16296640" cy="61371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10</xdr:col>
      <xdr:colOff>12700</xdr:colOff>
      <xdr:row>9</xdr:row>
      <xdr:rowOff>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A9A2C6A-EDF4-40DB-5C7C-47AB15D3B12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382000" y="812800"/>
              <a:ext cx="2489200" cy="101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4</xdr:row>
      <xdr:rowOff>0</xdr:rowOff>
    </xdr:from>
    <xdr:to>
      <xdr:col>11</xdr:col>
      <xdr:colOff>0</xdr:colOff>
      <xdr:row>18</xdr:row>
      <xdr:rowOff>0</xdr:rowOff>
    </xdr:to>
    <xdr:graphicFrame macro="">
      <xdr:nvGraphicFramePr>
        <xdr:cNvPr id="4" name="Chart 3">
          <a:extLst>
            <a:ext uri="{FF2B5EF4-FFF2-40B4-BE49-F238E27FC236}">
              <a16:creationId xmlns:a16="http://schemas.microsoft.com/office/drawing/2014/main" id="{60CFDE18-8487-E601-9A43-0A6F02FCE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812800</xdr:colOff>
      <xdr:row>4</xdr:row>
      <xdr:rowOff>0</xdr:rowOff>
    </xdr:from>
    <xdr:to>
      <xdr:col>14</xdr:col>
      <xdr:colOff>165100</xdr:colOff>
      <xdr:row>9</xdr:row>
      <xdr:rowOff>0</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20CE520C-5607-B959-EB1E-A612645AB35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883900" y="812800"/>
              <a:ext cx="1828800" cy="101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11</xdr:row>
      <xdr:rowOff>0</xdr:rowOff>
    </xdr:from>
    <xdr:to>
      <xdr:col>14</xdr:col>
      <xdr:colOff>177800</xdr:colOff>
      <xdr:row>23</xdr:row>
      <xdr:rowOff>180972</xdr:rowOff>
    </xdr:to>
    <mc:AlternateContent xmlns:mc="http://schemas.openxmlformats.org/markup-compatibility/2006" xmlns:a14="http://schemas.microsoft.com/office/drawing/2010/main">
      <mc:Choice Requires="a14">
        <xdr:graphicFrame macro="">
          <xdr:nvGraphicFramePr>
            <xdr:cNvPr id="7" name="Education Field">
              <a:extLst>
                <a:ext uri="{FF2B5EF4-FFF2-40B4-BE49-F238E27FC236}">
                  <a16:creationId xmlns:a16="http://schemas.microsoft.com/office/drawing/2014/main" id="{1D1D92A2-E8ED-76C1-C425-9FE8F2C7320E}"/>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0896600" y="22352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2540</xdr:colOff>
      <xdr:row>1</xdr:row>
      <xdr:rowOff>45720</xdr:rowOff>
    </xdr:from>
    <xdr:to>
      <xdr:col>14</xdr:col>
      <xdr:colOff>142240</xdr:colOff>
      <xdr:row>6</xdr:row>
      <xdr:rowOff>71120</xdr:rowOff>
    </xdr:to>
    <mc:AlternateContent xmlns:mc="http://schemas.openxmlformats.org/markup-compatibility/2006">
      <mc:Choice xmlns:a14="http://schemas.microsoft.com/office/drawing/2010/main" Requires="a14">
        <xdr:graphicFrame macro="">
          <xdr:nvGraphicFramePr>
            <xdr:cNvPr id="4" name="Gender 2">
              <a:extLst>
                <a:ext uri="{FF2B5EF4-FFF2-40B4-BE49-F238E27FC236}">
                  <a16:creationId xmlns:a16="http://schemas.microsoft.com/office/drawing/2014/main" id="{9A9A5699-DF85-289F-C1B1-1231535D770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5008880" y="243840"/>
              <a:ext cx="1846580" cy="101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25400</xdr:colOff>
      <xdr:row>10</xdr:row>
      <xdr:rowOff>12700</xdr:rowOff>
    </xdr:from>
    <xdr:to>
      <xdr:col>39</xdr:col>
      <xdr:colOff>165100</xdr:colOff>
      <xdr:row>22</xdr:row>
      <xdr:rowOff>193672</xdr:rowOff>
    </xdr:to>
    <mc:AlternateContent xmlns:mc="http://schemas.openxmlformats.org/markup-compatibility/2006" xmlns:a14="http://schemas.microsoft.com/office/drawing/2010/main">
      <mc:Choice Requires="a14">
        <xdr:graphicFrame macro="">
          <xdr:nvGraphicFramePr>
            <xdr:cNvPr id="5" name="Education Field 1">
              <a:extLst>
                <a:ext uri="{FF2B5EF4-FFF2-40B4-BE49-F238E27FC236}">
                  <a16:creationId xmlns:a16="http://schemas.microsoft.com/office/drawing/2014/main" id="{04477A0E-5190-9358-E0EC-6F7B6CFB6A73}"/>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0477500" y="20447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129540</xdr:colOff>
      <xdr:row>11</xdr:row>
      <xdr:rowOff>15240</xdr:rowOff>
    </xdr:from>
    <xdr:to>
      <xdr:col>25</xdr:col>
      <xdr:colOff>99060</xdr:colOff>
      <xdr:row>19</xdr:row>
      <xdr:rowOff>152400</xdr:rowOff>
    </xdr:to>
    <xdr:graphicFrame macro="">
      <xdr:nvGraphicFramePr>
        <xdr:cNvPr id="7" name="Chart 6">
          <a:extLst>
            <a:ext uri="{FF2B5EF4-FFF2-40B4-BE49-F238E27FC236}">
              <a16:creationId xmlns:a16="http://schemas.microsoft.com/office/drawing/2014/main" id="{D74266DD-E784-FEB8-C64D-5669B8703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127000</xdr:colOff>
      <xdr:row>14</xdr:row>
      <xdr:rowOff>12700</xdr:rowOff>
    </xdr:from>
    <xdr:to>
      <xdr:col>11</xdr:col>
      <xdr:colOff>647700</xdr:colOff>
      <xdr:row>33</xdr:row>
      <xdr:rowOff>76200</xdr:rowOff>
    </xdr:to>
    <xdr:graphicFrame macro="">
      <xdr:nvGraphicFramePr>
        <xdr:cNvPr id="3" name="Chart 2">
          <a:extLst>
            <a:ext uri="{FF2B5EF4-FFF2-40B4-BE49-F238E27FC236}">
              <a16:creationId xmlns:a16="http://schemas.microsoft.com/office/drawing/2014/main" id="{E5D87507-1169-3509-F403-A8187F899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406400</xdr:colOff>
      <xdr:row>13</xdr:row>
      <xdr:rowOff>152400</xdr:rowOff>
    </xdr:from>
    <xdr:to>
      <xdr:col>1</xdr:col>
      <xdr:colOff>1013460</xdr:colOff>
      <xdr:row>26</xdr:row>
      <xdr:rowOff>130172</xdr:rowOff>
    </xdr:to>
    <mc:AlternateContent xmlns:mc="http://schemas.openxmlformats.org/markup-compatibility/2006" xmlns:a14="http://schemas.microsoft.com/office/drawing/2010/main">
      <mc:Choice Requires="a14">
        <xdr:graphicFrame macro="">
          <xdr:nvGraphicFramePr>
            <xdr:cNvPr id="4" name="Education">
              <a:extLst>
                <a:ext uri="{FF2B5EF4-FFF2-40B4-BE49-F238E27FC236}">
                  <a16:creationId xmlns:a16="http://schemas.microsoft.com/office/drawing/2014/main" id="{1131376B-EFE3-7C93-743C-E8CC1F384DD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06400" y="27940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812800</xdr:colOff>
      <xdr:row>14</xdr:row>
      <xdr:rowOff>12700</xdr:rowOff>
    </xdr:from>
    <xdr:to>
      <xdr:col>11</xdr:col>
      <xdr:colOff>736600</xdr:colOff>
      <xdr:row>33</xdr:row>
      <xdr:rowOff>152400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2DB2F07-DDE0-F43A-6171-0C844D178C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580640" y="2786380"/>
              <a:ext cx="10309860" cy="39039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absoluteAnchor>
    <xdr:pos x="13304334" y="266885"/>
    <xdr:ext cx="1828800" cy="2695575"/>
    <mc:AlternateContent xmlns:mc="http://schemas.openxmlformats.org/markup-compatibility/2006">
      <mc:Choice xmlns:sle15="http://schemas.microsoft.com/office/drawing/2012/slicer" Requires="sle15">
        <xdr:graphicFrame macro="">
          <xdr:nvGraphicFramePr>
            <xdr:cNvPr id="2" name="Job Role">
              <a:extLst>
                <a:ext uri="{FF2B5EF4-FFF2-40B4-BE49-F238E27FC236}">
                  <a16:creationId xmlns:a16="http://schemas.microsoft.com/office/drawing/2014/main" id="{C8976730-AACA-B3D5-15E4-5F6504ADA450}"/>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dr:sp macro="" textlink="">
          <xdr:nvSpPr>
            <xdr:cNvPr id="0" name=""/>
            <xdr:cNvSpPr>
              <a:spLocks noTextEdit="1"/>
            </xdr:cNvSpPr>
          </xdr:nvSpPr>
          <xdr:spPr>
            <a:xfrm>
              <a:off x="13304334" y="266885"/>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wsDr>
</file>

<file path=xl/drawings/drawing7.xml><?xml version="1.0" encoding="utf-8"?>
<xdr:wsDr xmlns:xdr="http://schemas.openxmlformats.org/drawingml/2006/spreadsheetDrawing" xmlns:a="http://schemas.openxmlformats.org/drawingml/2006/main">
  <xdr:twoCellAnchor>
    <xdr:from>
      <xdr:col>4</xdr:col>
      <xdr:colOff>431800</xdr:colOff>
      <xdr:row>14</xdr:row>
      <xdr:rowOff>12700</xdr:rowOff>
    </xdr:from>
    <xdr:to>
      <xdr:col>10</xdr:col>
      <xdr:colOff>50800</xdr:colOff>
      <xdr:row>27</xdr:row>
      <xdr:rowOff>114300</xdr:rowOff>
    </xdr:to>
    <xdr:graphicFrame macro="">
      <xdr:nvGraphicFramePr>
        <xdr:cNvPr id="3" name="Chart 2">
          <a:extLst>
            <a:ext uri="{FF2B5EF4-FFF2-40B4-BE49-F238E27FC236}">
              <a16:creationId xmlns:a16="http://schemas.microsoft.com/office/drawing/2014/main" id="{F2A85DDE-26D8-0B60-7AE5-FFB16916F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635000</xdr:colOff>
      <xdr:row>14</xdr:row>
      <xdr:rowOff>12700</xdr:rowOff>
    </xdr:from>
    <xdr:to>
      <xdr:col>9</xdr:col>
      <xdr:colOff>254000</xdr:colOff>
      <xdr:row>27</xdr:row>
      <xdr:rowOff>114300</xdr:rowOff>
    </xdr:to>
    <xdr:graphicFrame macro="">
      <xdr:nvGraphicFramePr>
        <xdr:cNvPr id="4" name="Chart 3">
          <a:extLst>
            <a:ext uri="{FF2B5EF4-FFF2-40B4-BE49-F238E27FC236}">
              <a16:creationId xmlns:a16="http://schemas.microsoft.com/office/drawing/2014/main" id="{3DCA0039-625E-8F61-FC97-76BC42947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476250</xdr:colOff>
      <xdr:row>14</xdr:row>
      <xdr:rowOff>12700</xdr:rowOff>
    </xdr:from>
    <xdr:to>
      <xdr:col>12</xdr:col>
      <xdr:colOff>95250</xdr:colOff>
      <xdr:row>27</xdr:row>
      <xdr:rowOff>114300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B8D9E0AE-F194-E8FC-24D5-55B5DFAF0B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793230" y="2786380"/>
              <a:ext cx="4739640" cy="26771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797560</xdr:colOff>
      <xdr:row>9</xdr:row>
      <xdr:rowOff>22860</xdr:rowOff>
    </xdr:from>
    <xdr:to>
      <xdr:col>2</xdr:col>
      <xdr:colOff>774700</xdr:colOff>
      <xdr:row>22</xdr:row>
      <xdr:rowOff>632</xdr:rowOff>
    </xdr:to>
    <mc:AlternateContent xmlns:mc="http://schemas.openxmlformats.org/markup-compatibility/2006">
      <mc:Choice xmlns:a14="http://schemas.microsoft.com/office/drawing/2010/main" Requires="a14">
        <xdr:graphicFrame macro="">
          <xdr:nvGraphicFramePr>
            <xdr:cNvPr id="4" name="Marital Status">
              <a:extLst>
                <a:ext uri="{FF2B5EF4-FFF2-40B4-BE49-F238E27FC236}">
                  <a16:creationId xmlns:a16="http://schemas.microsoft.com/office/drawing/2014/main" id="{8E0CDA3F-21BA-676B-E1C7-F2A46E9BE78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737360" y="1794510"/>
              <a:ext cx="1831340" cy="25368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187960</xdr:colOff>
      <xdr:row>16</xdr:row>
      <xdr:rowOff>119380</xdr:rowOff>
    </xdr:from>
    <xdr:to>
      <xdr:col>5</xdr:col>
      <xdr:colOff>213360</xdr:colOff>
      <xdr:row>29</xdr:row>
      <xdr:rowOff>97152</xdr:rowOff>
    </xdr:to>
    <mc:AlternateContent xmlns:mc="http://schemas.openxmlformats.org/markup-compatibility/2006">
      <mc:Choice xmlns:a14="http://schemas.microsoft.com/office/drawing/2010/main" Requires="a14">
        <xdr:graphicFrame macro="">
          <xdr:nvGraphicFramePr>
            <xdr:cNvPr id="5" name="Department">
              <a:extLst>
                <a:ext uri="{FF2B5EF4-FFF2-40B4-BE49-F238E27FC236}">
                  <a16:creationId xmlns:a16="http://schemas.microsoft.com/office/drawing/2014/main" id="{88DF47A2-C40B-C997-DF61-278D0AA5C89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832860" y="3268980"/>
              <a:ext cx="1854200" cy="25368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792480</xdr:colOff>
      <xdr:row>22</xdr:row>
      <xdr:rowOff>60960</xdr:rowOff>
    </xdr:from>
    <xdr:to>
      <xdr:col>2</xdr:col>
      <xdr:colOff>795020</xdr:colOff>
      <xdr:row>35</xdr:row>
      <xdr:rowOff>38732</xdr:rowOff>
    </xdr:to>
    <mc:AlternateContent xmlns:mc="http://schemas.openxmlformats.org/markup-compatibility/2006">
      <mc:Choice xmlns:a14="http://schemas.microsoft.com/office/drawing/2010/main" Requires="a14">
        <xdr:graphicFrame macro="">
          <xdr:nvGraphicFramePr>
            <xdr:cNvPr id="6" name="Education Field 2">
              <a:extLst>
                <a:ext uri="{FF2B5EF4-FFF2-40B4-BE49-F238E27FC236}">
                  <a16:creationId xmlns:a16="http://schemas.microsoft.com/office/drawing/2014/main" id="{43AA4712-6795-69B1-51DB-08C2F0BE5039}"/>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1732280" y="4391660"/>
              <a:ext cx="1856740" cy="25368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495300</xdr:colOff>
      <xdr:row>0</xdr:row>
      <xdr:rowOff>152400</xdr:rowOff>
    </xdr:from>
    <xdr:to>
      <xdr:col>21</xdr:col>
      <xdr:colOff>279400</xdr:colOff>
      <xdr:row>41</xdr:row>
      <xdr:rowOff>2088</xdr:rowOff>
    </xdr:to>
    <xdr:grpSp>
      <xdr:nvGrpSpPr>
        <xdr:cNvPr id="27" name="Group 26">
          <a:extLst>
            <a:ext uri="{FF2B5EF4-FFF2-40B4-BE49-F238E27FC236}">
              <a16:creationId xmlns:a16="http://schemas.microsoft.com/office/drawing/2014/main" id="{97F8182C-464A-054F-AA8A-915ACBF79342}"/>
            </a:ext>
          </a:extLst>
        </xdr:cNvPr>
        <xdr:cNvGrpSpPr/>
      </xdr:nvGrpSpPr>
      <xdr:grpSpPr>
        <a:xfrm>
          <a:off x="495300" y="152400"/>
          <a:ext cx="17822718" cy="7802197"/>
          <a:chOff x="1752600" y="190500"/>
          <a:chExt cx="13468350" cy="7776000"/>
        </a:xfrm>
        <a:gradFill flip="none" rotWithShape="1">
          <a:gsLst>
            <a:gs pos="70000">
              <a:schemeClr val="accent1">
                <a:lumMod val="67000"/>
              </a:schemeClr>
            </a:gs>
            <a:gs pos="18000">
              <a:schemeClr val="accent1">
                <a:lumMod val="100000"/>
              </a:schemeClr>
            </a:gs>
            <a:gs pos="100000">
              <a:schemeClr val="accent1">
                <a:lumMod val="60000"/>
                <a:lumOff val="40000"/>
              </a:schemeClr>
            </a:gs>
          </a:gsLst>
          <a:path path="circle">
            <a:fillToRect r="100000" b="100000"/>
          </a:path>
          <a:tileRect l="-100000" t="-100000"/>
        </a:gradFill>
      </xdr:grpSpPr>
      <xdr:sp macro="" textlink="">
        <xdr:nvSpPr>
          <xdr:cNvPr id="28" name="Rectangle: Rounded Corners 2">
            <a:extLst>
              <a:ext uri="{FF2B5EF4-FFF2-40B4-BE49-F238E27FC236}">
                <a16:creationId xmlns:a16="http://schemas.microsoft.com/office/drawing/2014/main" id="{BE4260C2-6D88-6231-59C3-8874A43D3550}"/>
              </a:ext>
            </a:extLst>
          </xdr:cNvPr>
          <xdr:cNvSpPr/>
        </xdr:nvSpPr>
        <xdr:spPr>
          <a:xfrm>
            <a:off x="1752600" y="190500"/>
            <a:ext cx="13468350" cy="7776000"/>
          </a:xfrm>
          <a:prstGeom prst="roundRect">
            <a:avLst>
              <a:gd name="adj" fmla="val 1112"/>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29" name="Rectangle: Rounded Corners 3">
            <a:extLst>
              <a:ext uri="{FF2B5EF4-FFF2-40B4-BE49-F238E27FC236}">
                <a16:creationId xmlns:a16="http://schemas.microsoft.com/office/drawing/2014/main" id="{CB790882-70A8-C63B-5A71-5521AA81E7BC}"/>
              </a:ext>
            </a:extLst>
          </xdr:cNvPr>
          <xdr:cNvSpPr/>
        </xdr:nvSpPr>
        <xdr:spPr>
          <a:xfrm>
            <a:off x="1852449" y="270899"/>
            <a:ext cx="7691601" cy="834001"/>
          </a:xfrm>
          <a:prstGeom prst="roundRect">
            <a:avLst>
              <a:gd name="adj" fmla="val 10000"/>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30" name="Rectangle: Rounded Corners 4">
            <a:extLst>
              <a:ext uri="{FF2B5EF4-FFF2-40B4-BE49-F238E27FC236}">
                <a16:creationId xmlns:a16="http://schemas.microsoft.com/office/drawing/2014/main" id="{F47F58A9-D115-F31D-17F7-701B1046662B}"/>
              </a:ext>
            </a:extLst>
          </xdr:cNvPr>
          <xdr:cNvSpPr/>
        </xdr:nvSpPr>
        <xdr:spPr>
          <a:xfrm>
            <a:off x="9658349" y="270899"/>
            <a:ext cx="5467351" cy="834001"/>
          </a:xfrm>
          <a:prstGeom prst="roundRect">
            <a:avLst>
              <a:gd name="adj" fmla="val 10000"/>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1" name="Rectangle: Rounded Corners 5">
            <a:extLst>
              <a:ext uri="{FF2B5EF4-FFF2-40B4-BE49-F238E27FC236}">
                <a16:creationId xmlns:a16="http://schemas.microsoft.com/office/drawing/2014/main" id="{01A44874-D79D-3F11-0991-FAD004A603E6}"/>
              </a:ext>
            </a:extLst>
          </xdr:cNvPr>
          <xdr:cNvSpPr/>
        </xdr:nvSpPr>
        <xdr:spPr>
          <a:xfrm>
            <a:off x="5819774" y="2304895"/>
            <a:ext cx="4819651" cy="2772878"/>
          </a:xfrm>
          <a:prstGeom prst="roundRect">
            <a:avLst>
              <a:gd name="adj" fmla="val 3303"/>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32" name="Group 31">
            <a:extLst>
              <a:ext uri="{FF2B5EF4-FFF2-40B4-BE49-F238E27FC236}">
                <a16:creationId xmlns:a16="http://schemas.microsoft.com/office/drawing/2014/main" id="{84FB7DD8-A17A-12CA-569F-B34C004AB397}"/>
              </a:ext>
            </a:extLst>
          </xdr:cNvPr>
          <xdr:cNvGrpSpPr/>
        </xdr:nvGrpSpPr>
        <xdr:grpSpPr>
          <a:xfrm>
            <a:off x="1846116" y="1215714"/>
            <a:ext cx="13289109" cy="998848"/>
            <a:chOff x="1846116" y="1215714"/>
            <a:chExt cx="13403409" cy="998848"/>
          </a:xfrm>
          <a:grpFill/>
        </xdr:grpSpPr>
        <xdr:sp macro="" textlink="">
          <xdr:nvSpPr>
            <xdr:cNvPr id="47" name="Rectangle: Rounded Corners 21">
              <a:extLst>
                <a:ext uri="{FF2B5EF4-FFF2-40B4-BE49-F238E27FC236}">
                  <a16:creationId xmlns:a16="http://schemas.microsoft.com/office/drawing/2014/main" id="{A64F1325-907F-7E8E-E7E6-01CE8D857E82}"/>
                </a:ext>
              </a:extLst>
            </xdr:cNvPr>
            <xdr:cNvSpPr/>
          </xdr:nvSpPr>
          <xdr:spPr>
            <a:xfrm>
              <a:off x="1846116" y="1215714"/>
              <a:ext cx="2602058" cy="998848"/>
            </a:xfrm>
            <a:prstGeom prst="roundRect">
              <a:avLst>
                <a:gd name="adj" fmla="val 6048"/>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8" name="Rectangle: Rounded Corners 22">
              <a:extLst>
                <a:ext uri="{FF2B5EF4-FFF2-40B4-BE49-F238E27FC236}">
                  <a16:creationId xmlns:a16="http://schemas.microsoft.com/office/drawing/2014/main" id="{09F1546F-E489-E521-AEF8-6A9B9A385215}"/>
                </a:ext>
              </a:extLst>
            </xdr:cNvPr>
            <xdr:cNvSpPr/>
          </xdr:nvSpPr>
          <xdr:spPr>
            <a:xfrm>
              <a:off x="4546454" y="1215714"/>
              <a:ext cx="2602058" cy="998848"/>
            </a:xfrm>
            <a:prstGeom prst="roundRect">
              <a:avLst>
                <a:gd name="adj" fmla="val 6048"/>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9" name="Rectangle: Rounded Corners 23">
              <a:extLst>
                <a:ext uri="{FF2B5EF4-FFF2-40B4-BE49-F238E27FC236}">
                  <a16:creationId xmlns:a16="http://schemas.microsoft.com/office/drawing/2014/main" id="{DD04B7FE-3D25-C855-06B9-61B659F8A8BD}"/>
                </a:ext>
              </a:extLst>
            </xdr:cNvPr>
            <xdr:cNvSpPr/>
          </xdr:nvSpPr>
          <xdr:spPr>
            <a:xfrm>
              <a:off x="7246792" y="1215714"/>
              <a:ext cx="2602058" cy="998848"/>
            </a:xfrm>
            <a:prstGeom prst="roundRect">
              <a:avLst>
                <a:gd name="adj" fmla="val 6048"/>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0" name="Rectangle: Rounded Corners 24">
              <a:extLst>
                <a:ext uri="{FF2B5EF4-FFF2-40B4-BE49-F238E27FC236}">
                  <a16:creationId xmlns:a16="http://schemas.microsoft.com/office/drawing/2014/main" id="{0AB3B086-FF52-183E-4B5E-56725F8E4E31}"/>
                </a:ext>
              </a:extLst>
            </xdr:cNvPr>
            <xdr:cNvSpPr/>
          </xdr:nvSpPr>
          <xdr:spPr>
            <a:xfrm>
              <a:off x="9947130" y="1215714"/>
              <a:ext cx="2602058" cy="998848"/>
            </a:xfrm>
            <a:prstGeom prst="roundRect">
              <a:avLst>
                <a:gd name="adj" fmla="val 6048"/>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1" name="Rectangle: Rounded Corners 25">
              <a:extLst>
                <a:ext uri="{FF2B5EF4-FFF2-40B4-BE49-F238E27FC236}">
                  <a16:creationId xmlns:a16="http://schemas.microsoft.com/office/drawing/2014/main" id="{B519F743-14E5-B330-08E1-25EC727CD7F1}"/>
                </a:ext>
              </a:extLst>
            </xdr:cNvPr>
            <xdr:cNvSpPr/>
          </xdr:nvSpPr>
          <xdr:spPr>
            <a:xfrm>
              <a:off x="12647467" y="1215714"/>
              <a:ext cx="2602058" cy="998848"/>
            </a:xfrm>
            <a:prstGeom prst="roundRect">
              <a:avLst>
                <a:gd name="adj" fmla="val 6048"/>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33" name="Group 32">
            <a:extLst>
              <a:ext uri="{FF2B5EF4-FFF2-40B4-BE49-F238E27FC236}">
                <a16:creationId xmlns:a16="http://schemas.microsoft.com/office/drawing/2014/main" id="{A93C960D-7693-C4E2-68E0-1364FC5BA9CD}"/>
              </a:ext>
            </a:extLst>
          </xdr:cNvPr>
          <xdr:cNvGrpSpPr/>
        </xdr:nvGrpSpPr>
        <xdr:grpSpPr>
          <a:xfrm>
            <a:off x="1847145" y="5162550"/>
            <a:ext cx="3867930" cy="2709509"/>
            <a:chOff x="1847145" y="2304895"/>
            <a:chExt cx="3867930" cy="2772878"/>
          </a:xfrm>
          <a:grpFill/>
        </xdr:grpSpPr>
        <xdr:sp macro="" textlink="">
          <xdr:nvSpPr>
            <xdr:cNvPr id="45" name="Rectangle: Rounded Corners 19">
              <a:extLst>
                <a:ext uri="{FF2B5EF4-FFF2-40B4-BE49-F238E27FC236}">
                  <a16:creationId xmlns:a16="http://schemas.microsoft.com/office/drawing/2014/main" id="{8E3F6CB9-C804-4785-F991-29D42B3EE724}"/>
                </a:ext>
              </a:extLst>
            </xdr:cNvPr>
            <xdr:cNvSpPr/>
          </xdr:nvSpPr>
          <xdr:spPr>
            <a:xfrm>
              <a:off x="1847145" y="2304895"/>
              <a:ext cx="3867930" cy="2772878"/>
            </a:xfrm>
            <a:prstGeom prst="roundRect">
              <a:avLst>
                <a:gd name="adj" fmla="val 3303"/>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6" name="Straight Connector 45">
              <a:extLst>
                <a:ext uri="{FF2B5EF4-FFF2-40B4-BE49-F238E27FC236}">
                  <a16:creationId xmlns:a16="http://schemas.microsoft.com/office/drawing/2014/main" id="{A4E62C50-DC5B-6F2B-409F-8925EC577C2D}"/>
                </a:ext>
              </a:extLst>
            </xdr:cNvPr>
            <xdr:cNvCxnSpPr>
              <a:cxnSpLocks/>
            </xdr:cNvCxnSpPr>
          </xdr:nvCxnSpPr>
          <xdr:spPr>
            <a:xfrm flipV="1">
              <a:off x="1963706" y="2678637"/>
              <a:ext cx="3608419" cy="5300"/>
            </a:xfrm>
            <a:prstGeom prst="line">
              <a:avLst/>
            </a:prstGeom>
            <a:grpFill/>
            <a:ln w="12700">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grpSp>
      <xdr:cxnSp macro="">
        <xdr:nvCxnSpPr>
          <xdr:cNvPr id="34" name="Straight Connector 33">
            <a:extLst>
              <a:ext uri="{FF2B5EF4-FFF2-40B4-BE49-F238E27FC236}">
                <a16:creationId xmlns:a16="http://schemas.microsoft.com/office/drawing/2014/main" id="{AD290DBF-EDEE-2593-99F9-E0D64052F615}"/>
              </a:ext>
            </a:extLst>
          </xdr:cNvPr>
          <xdr:cNvCxnSpPr>
            <a:cxnSpLocks/>
          </xdr:cNvCxnSpPr>
        </xdr:nvCxnSpPr>
        <xdr:spPr>
          <a:xfrm flipH="1">
            <a:off x="6021356" y="2667000"/>
            <a:ext cx="4464000" cy="2650"/>
          </a:xfrm>
          <a:prstGeom prst="line">
            <a:avLst/>
          </a:prstGeom>
          <a:grpFill/>
          <a:ln w="12700">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35" name="Rectangle: Rounded Corners 9">
            <a:extLst>
              <a:ext uri="{FF2B5EF4-FFF2-40B4-BE49-F238E27FC236}">
                <a16:creationId xmlns:a16="http://schemas.microsoft.com/office/drawing/2014/main" id="{0137F366-7E7D-7A63-8C3A-8084940584B6}"/>
              </a:ext>
            </a:extLst>
          </xdr:cNvPr>
          <xdr:cNvSpPr/>
        </xdr:nvSpPr>
        <xdr:spPr>
          <a:xfrm>
            <a:off x="10744199" y="2304895"/>
            <a:ext cx="4381501" cy="2772878"/>
          </a:xfrm>
          <a:prstGeom prst="roundRect">
            <a:avLst>
              <a:gd name="adj" fmla="val 3303"/>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36" name="Straight Connector 35">
            <a:extLst>
              <a:ext uri="{FF2B5EF4-FFF2-40B4-BE49-F238E27FC236}">
                <a16:creationId xmlns:a16="http://schemas.microsoft.com/office/drawing/2014/main" id="{C55935FD-4AF0-E28B-D053-F8240F82F2CA}"/>
              </a:ext>
            </a:extLst>
          </xdr:cNvPr>
          <xdr:cNvCxnSpPr>
            <a:cxnSpLocks/>
          </xdr:cNvCxnSpPr>
        </xdr:nvCxnSpPr>
        <xdr:spPr>
          <a:xfrm flipV="1">
            <a:off x="10917205" y="2678637"/>
            <a:ext cx="4068000" cy="5300"/>
          </a:xfrm>
          <a:prstGeom prst="line">
            <a:avLst/>
          </a:prstGeom>
          <a:grpFill/>
          <a:ln w="12700">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37" name="Rectangle: Rounded Corners 11">
            <a:extLst>
              <a:ext uri="{FF2B5EF4-FFF2-40B4-BE49-F238E27FC236}">
                <a16:creationId xmlns:a16="http://schemas.microsoft.com/office/drawing/2014/main" id="{D6CA341B-2585-43BA-9BAF-3D3E7DE1EF2A}"/>
              </a:ext>
            </a:extLst>
          </xdr:cNvPr>
          <xdr:cNvSpPr/>
        </xdr:nvSpPr>
        <xdr:spPr>
          <a:xfrm>
            <a:off x="1847145" y="2314575"/>
            <a:ext cx="3867930" cy="2754668"/>
          </a:xfrm>
          <a:prstGeom prst="roundRect">
            <a:avLst>
              <a:gd name="adj" fmla="val 3303"/>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38" name="Straight Connector 37">
            <a:extLst>
              <a:ext uri="{FF2B5EF4-FFF2-40B4-BE49-F238E27FC236}">
                <a16:creationId xmlns:a16="http://schemas.microsoft.com/office/drawing/2014/main" id="{437F1EBF-E3BC-262E-BEBA-8D6B08710223}"/>
              </a:ext>
            </a:extLst>
          </xdr:cNvPr>
          <xdr:cNvCxnSpPr>
            <a:cxnSpLocks/>
          </xdr:cNvCxnSpPr>
        </xdr:nvCxnSpPr>
        <xdr:spPr>
          <a:xfrm flipV="1">
            <a:off x="1963706" y="2666813"/>
            <a:ext cx="3608419" cy="5265"/>
          </a:xfrm>
          <a:prstGeom prst="line">
            <a:avLst/>
          </a:prstGeom>
          <a:grpFill/>
          <a:ln w="12700">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39" name="Rectangle: Rounded Corners 13">
            <a:extLst>
              <a:ext uri="{FF2B5EF4-FFF2-40B4-BE49-F238E27FC236}">
                <a16:creationId xmlns:a16="http://schemas.microsoft.com/office/drawing/2014/main" id="{37B18D15-F764-F7A8-BE02-71C98D63BA54}"/>
              </a:ext>
            </a:extLst>
          </xdr:cNvPr>
          <xdr:cNvSpPr/>
        </xdr:nvSpPr>
        <xdr:spPr>
          <a:xfrm>
            <a:off x="5809545" y="5162550"/>
            <a:ext cx="3564000" cy="2709509"/>
          </a:xfrm>
          <a:prstGeom prst="roundRect">
            <a:avLst>
              <a:gd name="adj" fmla="val 3303"/>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0" name="Straight Connector 39">
            <a:extLst>
              <a:ext uri="{FF2B5EF4-FFF2-40B4-BE49-F238E27FC236}">
                <a16:creationId xmlns:a16="http://schemas.microsoft.com/office/drawing/2014/main" id="{D0EAE0A9-1F66-5974-FD4C-79F4F78949E2}"/>
              </a:ext>
            </a:extLst>
          </xdr:cNvPr>
          <xdr:cNvCxnSpPr>
            <a:cxnSpLocks/>
          </xdr:cNvCxnSpPr>
        </xdr:nvCxnSpPr>
        <xdr:spPr>
          <a:xfrm flipV="1">
            <a:off x="6009569" y="5524500"/>
            <a:ext cx="3096000" cy="5179"/>
          </a:xfrm>
          <a:prstGeom prst="line">
            <a:avLst/>
          </a:prstGeom>
          <a:grpFill/>
          <a:ln w="12700">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41" name="Rectangle: Rounded Corners 15">
            <a:extLst>
              <a:ext uri="{FF2B5EF4-FFF2-40B4-BE49-F238E27FC236}">
                <a16:creationId xmlns:a16="http://schemas.microsoft.com/office/drawing/2014/main" id="{392AE5B9-9160-C2AB-49B8-173EB82E71AB}"/>
              </a:ext>
            </a:extLst>
          </xdr:cNvPr>
          <xdr:cNvSpPr/>
        </xdr:nvSpPr>
        <xdr:spPr>
          <a:xfrm>
            <a:off x="9467145" y="5162550"/>
            <a:ext cx="2844000" cy="2700000"/>
          </a:xfrm>
          <a:prstGeom prst="roundRect">
            <a:avLst>
              <a:gd name="adj" fmla="val 3303"/>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2" name="Straight Connector 41">
            <a:extLst>
              <a:ext uri="{FF2B5EF4-FFF2-40B4-BE49-F238E27FC236}">
                <a16:creationId xmlns:a16="http://schemas.microsoft.com/office/drawing/2014/main" id="{773F5451-6B22-F1BF-4FC5-0B1F559F810E}"/>
              </a:ext>
            </a:extLst>
          </xdr:cNvPr>
          <xdr:cNvCxnSpPr>
            <a:cxnSpLocks/>
          </xdr:cNvCxnSpPr>
        </xdr:nvCxnSpPr>
        <xdr:spPr>
          <a:xfrm flipV="1">
            <a:off x="9686219" y="5524500"/>
            <a:ext cx="2448000" cy="5179"/>
          </a:xfrm>
          <a:prstGeom prst="line">
            <a:avLst/>
          </a:prstGeom>
          <a:grpFill/>
          <a:ln w="12700">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43" name="Rectangle: Rounded Corners 17">
            <a:extLst>
              <a:ext uri="{FF2B5EF4-FFF2-40B4-BE49-F238E27FC236}">
                <a16:creationId xmlns:a16="http://schemas.microsoft.com/office/drawing/2014/main" id="{611AABEB-2BDA-F564-FCCB-141648D2B7B6}"/>
              </a:ext>
            </a:extLst>
          </xdr:cNvPr>
          <xdr:cNvSpPr/>
        </xdr:nvSpPr>
        <xdr:spPr>
          <a:xfrm>
            <a:off x="12419895" y="5162550"/>
            <a:ext cx="2700000" cy="2700000"/>
          </a:xfrm>
          <a:prstGeom prst="roundRect">
            <a:avLst>
              <a:gd name="adj" fmla="val 3303"/>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4" name="Straight Connector 43">
            <a:extLst>
              <a:ext uri="{FF2B5EF4-FFF2-40B4-BE49-F238E27FC236}">
                <a16:creationId xmlns:a16="http://schemas.microsoft.com/office/drawing/2014/main" id="{48A75024-E570-6BBF-E549-C74E688F4C9F}"/>
              </a:ext>
            </a:extLst>
          </xdr:cNvPr>
          <xdr:cNvCxnSpPr>
            <a:cxnSpLocks/>
          </xdr:cNvCxnSpPr>
        </xdr:nvCxnSpPr>
        <xdr:spPr>
          <a:xfrm flipV="1">
            <a:off x="12543719" y="5514975"/>
            <a:ext cx="2448000" cy="5179"/>
          </a:xfrm>
          <a:prstGeom prst="line">
            <a:avLst/>
          </a:prstGeom>
          <a:grpFill/>
          <a:ln w="12700">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622300</xdr:colOff>
      <xdr:row>6</xdr:row>
      <xdr:rowOff>25400</xdr:rowOff>
    </xdr:from>
    <xdr:to>
      <xdr:col>4</xdr:col>
      <xdr:colOff>584200</xdr:colOff>
      <xdr:row>8</xdr:row>
      <xdr:rowOff>0</xdr:rowOff>
    </xdr:to>
    <xdr:sp macro="" textlink="">
      <xdr:nvSpPr>
        <xdr:cNvPr id="52" name="TextBox 51">
          <a:extLst>
            <a:ext uri="{FF2B5EF4-FFF2-40B4-BE49-F238E27FC236}">
              <a16:creationId xmlns:a16="http://schemas.microsoft.com/office/drawing/2014/main" id="{A1F24C1C-53F4-F840-E989-B095DD610EA0}"/>
            </a:ext>
          </a:extLst>
        </xdr:cNvPr>
        <xdr:cNvSpPr txBox="1"/>
      </xdr:nvSpPr>
      <xdr:spPr>
        <a:xfrm>
          <a:off x="622300" y="1250043"/>
          <a:ext cx="3390900" cy="382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TOTAL EMPLOYEES</a:t>
          </a:r>
        </a:p>
      </xdr:txBody>
    </xdr:sp>
    <xdr:clientData/>
  </xdr:twoCellAnchor>
  <xdr:twoCellAnchor>
    <xdr:from>
      <xdr:col>0</xdr:col>
      <xdr:colOff>622300</xdr:colOff>
      <xdr:row>8</xdr:row>
      <xdr:rowOff>0</xdr:rowOff>
    </xdr:from>
    <xdr:to>
      <xdr:col>4</xdr:col>
      <xdr:colOff>584200</xdr:colOff>
      <xdr:row>11</xdr:row>
      <xdr:rowOff>50800</xdr:rowOff>
    </xdr:to>
    <xdr:sp macro="" textlink="KPI!A7">
      <xdr:nvSpPr>
        <xdr:cNvPr id="53" name="TextBox 52">
          <a:extLst>
            <a:ext uri="{FF2B5EF4-FFF2-40B4-BE49-F238E27FC236}">
              <a16:creationId xmlns:a16="http://schemas.microsoft.com/office/drawing/2014/main" id="{40447C8A-321E-27A1-1E1A-D9E0E692421A}"/>
            </a:ext>
          </a:extLst>
        </xdr:cNvPr>
        <xdr:cNvSpPr txBox="1"/>
      </xdr:nvSpPr>
      <xdr:spPr>
        <a:xfrm>
          <a:off x="622300" y="1632857"/>
          <a:ext cx="3390900" cy="663122"/>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B14F1B-FEC9-AB4B-842E-8019A46FAA36}" type="TxLink">
            <a:rPr lang="en-US" sz="4000" b="0" i="0" u="none" strike="noStrike">
              <a:solidFill>
                <a:schemeClr val="accent5">
                  <a:lumMod val="75000"/>
                </a:schemeClr>
              </a:solidFill>
              <a:latin typeface="Britannic Bold" panose="020B0903060703020204" pitchFamily="34" charset="77"/>
              <a:cs typeface="Calibri"/>
            </a:rPr>
            <a:pPr algn="ctr"/>
            <a:t>1470</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4</xdr:col>
      <xdr:colOff>723900</xdr:colOff>
      <xdr:row>6</xdr:row>
      <xdr:rowOff>12700</xdr:rowOff>
    </xdr:from>
    <xdr:to>
      <xdr:col>8</xdr:col>
      <xdr:colOff>685800</xdr:colOff>
      <xdr:row>7</xdr:row>
      <xdr:rowOff>190500</xdr:rowOff>
    </xdr:to>
    <xdr:sp macro="" textlink="">
      <xdr:nvSpPr>
        <xdr:cNvPr id="129" name="TextBox 128">
          <a:extLst>
            <a:ext uri="{FF2B5EF4-FFF2-40B4-BE49-F238E27FC236}">
              <a16:creationId xmlns:a16="http://schemas.microsoft.com/office/drawing/2014/main" id="{D24B97FA-BDE4-6D49-8944-B19D8B50932F}"/>
            </a:ext>
          </a:extLst>
        </xdr:cNvPr>
        <xdr:cNvSpPr txBox="1"/>
      </xdr:nvSpPr>
      <xdr:spPr>
        <a:xfrm>
          <a:off x="4152900" y="1237343"/>
          <a:ext cx="3390900" cy="381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ATTRITION</a:t>
          </a:r>
        </a:p>
      </xdr:txBody>
    </xdr:sp>
    <xdr:clientData/>
  </xdr:twoCellAnchor>
  <xdr:twoCellAnchor>
    <xdr:from>
      <xdr:col>4</xdr:col>
      <xdr:colOff>723900</xdr:colOff>
      <xdr:row>7</xdr:row>
      <xdr:rowOff>190500</xdr:rowOff>
    </xdr:from>
    <xdr:to>
      <xdr:col>8</xdr:col>
      <xdr:colOff>685800</xdr:colOff>
      <xdr:row>11</xdr:row>
      <xdr:rowOff>38100</xdr:rowOff>
    </xdr:to>
    <xdr:sp macro="" textlink="KPI!B7">
      <xdr:nvSpPr>
        <xdr:cNvPr id="130" name="TextBox 129">
          <a:extLst>
            <a:ext uri="{FF2B5EF4-FFF2-40B4-BE49-F238E27FC236}">
              <a16:creationId xmlns:a16="http://schemas.microsoft.com/office/drawing/2014/main" id="{4DA7B51C-0F85-DC41-B914-5385C0E5DD5C}"/>
            </a:ext>
          </a:extLst>
        </xdr:cNvPr>
        <xdr:cNvSpPr txBox="1"/>
      </xdr:nvSpPr>
      <xdr:spPr>
        <a:xfrm>
          <a:off x="4152900" y="1619250"/>
          <a:ext cx="3390900" cy="664029"/>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7D19279-75F1-1B41-8E77-5EDCB863159A}" type="TxLink">
            <a:rPr lang="en-US" sz="4000" b="0" i="0" u="none" strike="noStrike">
              <a:solidFill>
                <a:schemeClr val="accent5">
                  <a:lumMod val="75000"/>
                </a:schemeClr>
              </a:solidFill>
              <a:latin typeface="Britannic Bold" panose="020B0903060703020204" pitchFamily="34" charset="77"/>
              <a:cs typeface="Calibri"/>
            </a:rPr>
            <a:pPr algn="ctr"/>
            <a:t>237</a:t>
          </a:fld>
          <a:endParaRPr lang="en-GB" sz="9600">
            <a:solidFill>
              <a:schemeClr val="accent5">
                <a:lumMod val="75000"/>
              </a:schemeClr>
            </a:solidFill>
            <a:latin typeface="Britannic Bold" panose="020B0903060703020204" pitchFamily="34" charset="77"/>
          </a:endParaRPr>
        </a:p>
      </xdr:txBody>
    </xdr:sp>
    <xdr:clientData/>
  </xdr:twoCellAnchor>
  <xdr:twoCellAnchor>
    <xdr:from>
      <xdr:col>9</xdr:col>
      <xdr:colOff>0</xdr:colOff>
      <xdr:row>6</xdr:row>
      <xdr:rowOff>12700</xdr:rowOff>
    </xdr:from>
    <xdr:to>
      <xdr:col>12</xdr:col>
      <xdr:colOff>787400</xdr:colOff>
      <xdr:row>7</xdr:row>
      <xdr:rowOff>190500</xdr:rowOff>
    </xdr:to>
    <xdr:sp macro="" textlink="">
      <xdr:nvSpPr>
        <xdr:cNvPr id="141" name="TextBox 140">
          <a:extLst>
            <a:ext uri="{FF2B5EF4-FFF2-40B4-BE49-F238E27FC236}">
              <a16:creationId xmlns:a16="http://schemas.microsoft.com/office/drawing/2014/main" id="{43E93491-18DD-244C-BC3A-8AEE520CC10D}"/>
            </a:ext>
          </a:extLst>
        </xdr:cNvPr>
        <xdr:cNvSpPr txBox="1"/>
      </xdr:nvSpPr>
      <xdr:spPr>
        <a:xfrm>
          <a:off x="7715250" y="1237343"/>
          <a:ext cx="3359150" cy="381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ACTIVE EMPLOYEE</a:t>
          </a:r>
        </a:p>
      </xdr:txBody>
    </xdr:sp>
    <xdr:clientData/>
  </xdr:twoCellAnchor>
  <xdr:twoCellAnchor>
    <xdr:from>
      <xdr:col>9</xdr:col>
      <xdr:colOff>0</xdr:colOff>
      <xdr:row>7</xdr:row>
      <xdr:rowOff>190500</xdr:rowOff>
    </xdr:from>
    <xdr:to>
      <xdr:col>12</xdr:col>
      <xdr:colOff>787400</xdr:colOff>
      <xdr:row>11</xdr:row>
      <xdr:rowOff>38100</xdr:rowOff>
    </xdr:to>
    <xdr:sp macro="" textlink="KPI!D7">
      <xdr:nvSpPr>
        <xdr:cNvPr id="142" name="TextBox 141">
          <a:extLst>
            <a:ext uri="{FF2B5EF4-FFF2-40B4-BE49-F238E27FC236}">
              <a16:creationId xmlns:a16="http://schemas.microsoft.com/office/drawing/2014/main" id="{3A25B5B7-1668-C448-B096-C2ED7D3585B9}"/>
            </a:ext>
          </a:extLst>
        </xdr:cNvPr>
        <xdr:cNvSpPr txBox="1"/>
      </xdr:nvSpPr>
      <xdr:spPr>
        <a:xfrm>
          <a:off x="7715250" y="1619250"/>
          <a:ext cx="3359150" cy="664029"/>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4B69861-B65D-4846-87F8-BAB7629327BC}" type="TxLink">
            <a:rPr lang="en-US" sz="4000" b="0" i="0" u="none" strike="noStrike">
              <a:solidFill>
                <a:schemeClr val="accent5">
                  <a:lumMod val="75000"/>
                </a:schemeClr>
              </a:solidFill>
              <a:latin typeface="Britannic Bold" panose="020B0903060703020204" pitchFamily="34" charset="77"/>
              <a:cs typeface="Calibri"/>
            </a:rPr>
            <a:pPr algn="ctr"/>
            <a:t>1233</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13</xdr:col>
      <xdr:colOff>88900</xdr:colOff>
      <xdr:row>6</xdr:row>
      <xdr:rowOff>12700</xdr:rowOff>
    </xdr:from>
    <xdr:to>
      <xdr:col>17</xdr:col>
      <xdr:colOff>63500</xdr:colOff>
      <xdr:row>7</xdr:row>
      <xdr:rowOff>190500</xdr:rowOff>
    </xdr:to>
    <xdr:sp macro="" textlink="">
      <xdr:nvSpPr>
        <xdr:cNvPr id="143" name="TextBox 142">
          <a:extLst>
            <a:ext uri="{FF2B5EF4-FFF2-40B4-BE49-F238E27FC236}">
              <a16:creationId xmlns:a16="http://schemas.microsoft.com/office/drawing/2014/main" id="{C63B4764-17B5-3C4A-9A7D-B8D8A2796149}"/>
            </a:ext>
          </a:extLst>
        </xdr:cNvPr>
        <xdr:cNvSpPr txBox="1"/>
      </xdr:nvSpPr>
      <xdr:spPr>
        <a:xfrm>
          <a:off x="11233150" y="1237343"/>
          <a:ext cx="3403600" cy="381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ATTRITION RATE</a:t>
          </a:r>
        </a:p>
      </xdr:txBody>
    </xdr:sp>
    <xdr:clientData/>
  </xdr:twoCellAnchor>
  <xdr:twoCellAnchor>
    <xdr:from>
      <xdr:col>13</xdr:col>
      <xdr:colOff>88900</xdr:colOff>
      <xdr:row>7</xdr:row>
      <xdr:rowOff>190500</xdr:rowOff>
    </xdr:from>
    <xdr:to>
      <xdr:col>17</xdr:col>
      <xdr:colOff>63500</xdr:colOff>
      <xdr:row>11</xdr:row>
      <xdr:rowOff>38100</xdr:rowOff>
    </xdr:to>
    <xdr:sp macro="" textlink="KPI!E7">
      <xdr:nvSpPr>
        <xdr:cNvPr id="144" name="TextBox 143">
          <a:extLst>
            <a:ext uri="{FF2B5EF4-FFF2-40B4-BE49-F238E27FC236}">
              <a16:creationId xmlns:a16="http://schemas.microsoft.com/office/drawing/2014/main" id="{164EBFA4-F8AB-BB43-8949-F9BA511EBA0D}"/>
            </a:ext>
          </a:extLst>
        </xdr:cNvPr>
        <xdr:cNvSpPr txBox="1"/>
      </xdr:nvSpPr>
      <xdr:spPr>
        <a:xfrm>
          <a:off x="11233150" y="1619250"/>
          <a:ext cx="3403600" cy="664029"/>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8127DB-D749-D744-BE30-6C746D5939E4}" type="TxLink">
            <a:rPr lang="en-US" sz="4000" b="0" i="0" u="none" strike="noStrike">
              <a:solidFill>
                <a:schemeClr val="accent5">
                  <a:lumMod val="75000"/>
                </a:schemeClr>
              </a:solidFill>
              <a:latin typeface="Britannic Bold" panose="020B0903060703020204" pitchFamily="34" charset="77"/>
              <a:cs typeface="Calibri"/>
            </a:rPr>
            <a:pPr algn="ctr"/>
            <a:t>16.12%</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17</xdr:col>
      <xdr:colOff>203200</xdr:colOff>
      <xdr:row>6</xdr:row>
      <xdr:rowOff>12700</xdr:rowOff>
    </xdr:from>
    <xdr:to>
      <xdr:col>21</xdr:col>
      <xdr:colOff>165100</xdr:colOff>
      <xdr:row>7</xdr:row>
      <xdr:rowOff>190500</xdr:rowOff>
    </xdr:to>
    <xdr:sp macro="" textlink="">
      <xdr:nvSpPr>
        <xdr:cNvPr id="145" name="TextBox 144">
          <a:extLst>
            <a:ext uri="{FF2B5EF4-FFF2-40B4-BE49-F238E27FC236}">
              <a16:creationId xmlns:a16="http://schemas.microsoft.com/office/drawing/2014/main" id="{3AA1A226-FBE3-774F-AD9F-437002AFAF2E}"/>
            </a:ext>
          </a:extLst>
        </xdr:cNvPr>
        <xdr:cNvSpPr txBox="1"/>
      </xdr:nvSpPr>
      <xdr:spPr>
        <a:xfrm>
          <a:off x="14776450" y="1237343"/>
          <a:ext cx="3390900" cy="381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AVERAGE</a:t>
          </a:r>
          <a:r>
            <a:rPr lang="en-GB" sz="2000" baseline="0">
              <a:latin typeface="Britannic Bold" panose="020B0903060703020204" pitchFamily="34" charset="77"/>
              <a:cs typeface="Baloo Bhaijaan" panose="03080902040302020200" pitchFamily="66" charset="-78"/>
            </a:rPr>
            <a:t> AGE</a:t>
          </a:r>
          <a:endParaRPr lang="en-GB" sz="2000">
            <a:latin typeface="Britannic Bold" panose="020B0903060703020204" pitchFamily="34" charset="77"/>
            <a:cs typeface="Baloo Bhaijaan" panose="03080902040302020200" pitchFamily="66" charset="-78"/>
          </a:endParaRPr>
        </a:p>
      </xdr:txBody>
    </xdr:sp>
    <xdr:clientData/>
  </xdr:twoCellAnchor>
  <xdr:twoCellAnchor>
    <xdr:from>
      <xdr:col>17</xdr:col>
      <xdr:colOff>203200</xdr:colOff>
      <xdr:row>7</xdr:row>
      <xdr:rowOff>190500</xdr:rowOff>
    </xdr:from>
    <xdr:to>
      <xdr:col>21</xdr:col>
      <xdr:colOff>165100</xdr:colOff>
      <xdr:row>11</xdr:row>
      <xdr:rowOff>38100</xdr:rowOff>
    </xdr:to>
    <xdr:sp macro="" textlink="KPI!C7">
      <xdr:nvSpPr>
        <xdr:cNvPr id="146" name="TextBox 145">
          <a:extLst>
            <a:ext uri="{FF2B5EF4-FFF2-40B4-BE49-F238E27FC236}">
              <a16:creationId xmlns:a16="http://schemas.microsoft.com/office/drawing/2014/main" id="{3915BA3D-EBD7-334B-9F38-A0D0E9BC4A68}"/>
            </a:ext>
          </a:extLst>
        </xdr:cNvPr>
        <xdr:cNvSpPr txBox="1"/>
      </xdr:nvSpPr>
      <xdr:spPr>
        <a:xfrm>
          <a:off x="14776450" y="1619250"/>
          <a:ext cx="3390900" cy="664029"/>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B91F395-2B95-C04E-9639-F366CD270512}" type="TxLink">
            <a:rPr lang="en-US" sz="4000" b="0" i="0" u="none" strike="noStrike">
              <a:solidFill>
                <a:schemeClr val="accent5">
                  <a:lumMod val="75000"/>
                </a:schemeClr>
              </a:solidFill>
              <a:latin typeface="Britannic Bold" panose="020B0903060703020204" pitchFamily="34" charset="77"/>
              <a:cs typeface="Calibri"/>
            </a:rPr>
            <a:pPr algn="ctr"/>
            <a:t>36.9</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0</xdr:col>
      <xdr:colOff>609600</xdr:colOff>
      <xdr:row>1</xdr:row>
      <xdr:rowOff>25400</xdr:rowOff>
    </xdr:from>
    <xdr:to>
      <xdr:col>12</xdr:col>
      <xdr:colOff>495300</xdr:colOff>
      <xdr:row>5</xdr:row>
      <xdr:rowOff>101600</xdr:rowOff>
    </xdr:to>
    <xdr:sp macro="" textlink="">
      <xdr:nvSpPr>
        <xdr:cNvPr id="148" name="TextBox 147">
          <a:extLst>
            <a:ext uri="{FF2B5EF4-FFF2-40B4-BE49-F238E27FC236}">
              <a16:creationId xmlns:a16="http://schemas.microsoft.com/office/drawing/2014/main" id="{73A1B037-9E5C-7603-4555-0A0B31EE8BD1}"/>
            </a:ext>
          </a:extLst>
        </xdr:cNvPr>
        <xdr:cNvSpPr txBox="1"/>
      </xdr:nvSpPr>
      <xdr:spPr>
        <a:xfrm>
          <a:off x="609600" y="229507"/>
          <a:ext cx="10172700" cy="892629"/>
        </a:xfrm>
        <a:prstGeom prst="rect">
          <a:avLst/>
        </a:prstGeom>
        <a:solidFill>
          <a:srgbClr val="48599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6000">
              <a:latin typeface="Britannic Bold" panose="020B0903060703020204" pitchFamily="34" charset="77"/>
            </a:rPr>
            <a:t>HR ANALYTICS DASHBOARD</a:t>
          </a:r>
        </a:p>
      </xdr:txBody>
    </xdr:sp>
    <xdr:clientData/>
  </xdr:twoCellAnchor>
  <xdr:twoCellAnchor>
    <xdr:from>
      <xdr:col>12</xdr:col>
      <xdr:colOff>635000</xdr:colOff>
      <xdr:row>1</xdr:row>
      <xdr:rowOff>25400</xdr:rowOff>
    </xdr:from>
    <xdr:to>
      <xdr:col>19</xdr:col>
      <xdr:colOff>533400</xdr:colOff>
      <xdr:row>5</xdr:row>
      <xdr:rowOff>88900</xdr:rowOff>
    </xdr:to>
    <xdr:sp macro="" textlink="">
      <xdr:nvSpPr>
        <xdr:cNvPr id="149" name="TextBox 148">
          <a:extLst>
            <a:ext uri="{FF2B5EF4-FFF2-40B4-BE49-F238E27FC236}">
              <a16:creationId xmlns:a16="http://schemas.microsoft.com/office/drawing/2014/main" id="{8B5624AD-7605-C73B-0B93-FE418B3EFC0A}"/>
            </a:ext>
          </a:extLst>
        </xdr:cNvPr>
        <xdr:cNvSpPr txBox="1"/>
      </xdr:nvSpPr>
      <xdr:spPr>
        <a:xfrm>
          <a:off x="10922000" y="229507"/>
          <a:ext cx="5899150" cy="879929"/>
        </a:xfrm>
        <a:prstGeom prst="rect">
          <a:avLst/>
        </a:prstGeom>
        <a:solidFill>
          <a:srgbClr val="48599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600">
              <a:latin typeface="Britannic Bold" panose="020B0903060703020204" pitchFamily="34" charset="77"/>
            </a:rPr>
            <a:t>JOB SATISFACTION RATING</a:t>
          </a:r>
        </a:p>
      </xdr:txBody>
    </xdr:sp>
    <xdr:clientData/>
  </xdr:twoCellAnchor>
  <xdr:twoCellAnchor>
    <xdr:from>
      <xdr:col>19</xdr:col>
      <xdr:colOff>622300</xdr:colOff>
      <xdr:row>1</xdr:row>
      <xdr:rowOff>38100</xdr:rowOff>
    </xdr:from>
    <xdr:to>
      <xdr:col>21</xdr:col>
      <xdr:colOff>152400</xdr:colOff>
      <xdr:row>5</xdr:row>
      <xdr:rowOff>101600</xdr:rowOff>
    </xdr:to>
    <xdr:graphicFrame macro="">
      <xdr:nvGraphicFramePr>
        <xdr:cNvPr id="150" name="Chart 149">
          <a:extLst>
            <a:ext uri="{FF2B5EF4-FFF2-40B4-BE49-F238E27FC236}">
              <a16:creationId xmlns:a16="http://schemas.microsoft.com/office/drawing/2014/main" id="{D7B86711-8CCC-F247-9D8A-D79CD6D95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177800</xdr:colOff>
      <xdr:row>2</xdr:row>
      <xdr:rowOff>101600</xdr:rowOff>
    </xdr:from>
    <xdr:to>
      <xdr:col>20</xdr:col>
      <xdr:colOff>609600</xdr:colOff>
      <xdr:row>4</xdr:row>
      <xdr:rowOff>12700</xdr:rowOff>
    </xdr:to>
    <xdr:sp macro="" textlink="Rating!$B$6">
      <xdr:nvSpPr>
        <xdr:cNvPr id="151" name="TextBox 150">
          <a:extLst>
            <a:ext uri="{FF2B5EF4-FFF2-40B4-BE49-F238E27FC236}">
              <a16:creationId xmlns:a16="http://schemas.microsoft.com/office/drawing/2014/main" id="{3A407F09-6FF1-3F37-0C52-10B668C3B6F1}"/>
            </a:ext>
          </a:extLst>
        </xdr:cNvPr>
        <xdr:cNvSpPr txBox="1"/>
      </xdr:nvSpPr>
      <xdr:spPr>
        <a:xfrm>
          <a:off x="17322800" y="509814"/>
          <a:ext cx="431800" cy="319315"/>
        </a:xfrm>
        <a:prstGeom prst="rect">
          <a:avLst/>
        </a:prstGeom>
        <a:solidFill>
          <a:srgbClr val="48599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93D003-1D59-C04C-A87B-CADD31BBB309}" type="TxLink">
            <a:rPr lang="en-US" sz="1200" b="0" i="0" u="none" strike="noStrike">
              <a:solidFill>
                <a:srgbClr val="000000"/>
              </a:solidFill>
              <a:latin typeface="Britannic Bold" panose="020B0903060703020204" pitchFamily="34" charset="77"/>
              <a:cs typeface="Calibri"/>
            </a:rPr>
            <a:pPr algn="ctr"/>
            <a:t>2.6</a:t>
          </a:fld>
          <a:endParaRPr lang="en-GB" sz="1100">
            <a:latin typeface="Britannic Bold" panose="020B0903060703020204" pitchFamily="34" charset="77"/>
          </a:endParaRPr>
        </a:p>
      </xdr:txBody>
    </xdr:sp>
    <xdr:clientData/>
  </xdr:twoCellAnchor>
  <xdr:twoCellAnchor>
    <xdr:from>
      <xdr:col>0</xdr:col>
      <xdr:colOff>762000</xdr:colOff>
      <xdr:row>11</xdr:row>
      <xdr:rowOff>165100</xdr:rowOff>
    </xdr:from>
    <xdr:to>
      <xdr:col>6</xdr:col>
      <xdr:colOff>393700</xdr:colOff>
      <xdr:row>13</xdr:row>
      <xdr:rowOff>114300</xdr:rowOff>
    </xdr:to>
    <xdr:sp macro="" textlink="">
      <xdr:nvSpPr>
        <xdr:cNvPr id="153" name="TextBox 152">
          <a:extLst>
            <a:ext uri="{FF2B5EF4-FFF2-40B4-BE49-F238E27FC236}">
              <a16:creationId xmlns:a16="http://schemas.microsoft.com/office/drawing/2014/main" id="{23CB12C4-9D70-AB32-B814-2702A3AB50AD}"/>
            </a:ext>
          </a:extLst>
        </xdr:cNvPr>
        <xdr:cNvSpPr txBox="1"/>
      </xdr:nvSpPr>
      <xdr:spPr>
        <a:xfrm>
          <a:off x="762000" y="2410279"/>
          <a:ext cx="4775200" cy="357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Total Employees By Gender</a:t>
          </a:r>
        </a:p>
      </xdr:txBody>
    </xdr:sp>
    <xdr:clientData/>
  </xdr:twoCellAnchor>
  <xdr:twoCellAnchor editAs="oneCell">
    <xdr:from>
      <xdr:col>0</xdr:col>
      <xdr:colOff>815662</xdr:colOff>
      <xdr:row>13</xdr:row>
      <xdr:rowOff>139700</xdr:rowOff>
    </xdr:from>
    <xdr:to>
      <xdr:col>6</xdr:col>
      <xdr:colOff>447362</xdr:colOff>
      <xdr:row>16</xdr:row>
      <xdr:rowOff>165100</xdr:rowOff>
    </xdr:to>
    <mc:AlternateContent xmlns:mc="http://schemas.openxmlformats.org/markup-compatibility/2006">
      <mc:Choice xmlns:a14="http://schemas.microsoft.com/office/drawing/2010/main" Requires="a14">
        <xdr:graphicFrame macro="">
          <xdr:nvGraphicFramePr>
            <xdr:cNvPr id="154" name="Gender 3">
              <a:extLst>
                <a:ext uri="{FF2B5EF4-FFF2-40B4-BE49-F238E27FC236}">
                  <a16:creationId xmlns:a16="http://schemas.microsoft.com/office/drawing/2014/main" id="{22F417B9-CFC8-154E-870E-2E993E039C6F}"/>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815662" y="2661227"/>
              <a:ext cx="4785591" cy="6072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609600</xdr:colOff>
      <xdr:row>16</xdr:row>
      <xdr:rowOff>190500</xdr:rowOff>
    </xdr:from>
    <xdr:to>
      <xdr:col>3</xdr:col>
      <xdr:colOff>584200</xdr:colOff>
      <xdr:row>25</xdr:row>
      <xdr:rowOff>190500</xdr:rowOff>
    </xdr:to>
    <xdr:graphicFrame macro="">
      <xdr:nvGraphicFramePr>
        <xdr:cNvPr id="155" name="Chart 154">
          <a:extLst>
            <a:ext uri="{FF2B5EF4-FFF2-40B4-BE49-F238E27FC236}">
              <a16:creationId xmlns:a16="http://schemas.microsoft.com/office/drawing/2014/main" id="{C49307D6-7623-1E4E-9CF6-7E29ADE7A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520700</xdr:colOff>
      <xdr:row>16</xdr:row>
      <xdr:rowOff>165100</xdr:rowOff>
    </xdr:from>
    <xdr:to>
      <xdr:col>6</xdr:col>
      <xdr:colOff>584200</xdr:colOff>
      <xdr:row>26</xdr:row>
      <xdr:rowOff>0</xdr:rowOff>
    </xdr:to>
    <xdr:graphicFrame macro="">
      <xdr:nvGraphicFramePr>
        <xdr:cNvPr id="156" name="Chart 155">
          <a:extLst>
            <a:ext uri="{FF2B5EF4-FFF2-40B4-BE49-F238E27FC236}">
              <a16:creationId xmlns:a16="http://schemas.microsoft.com/office/drawing/2014/main" id="{60D5EDC2-7807-894C-A824-29BEF11B5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139700</xdr:colOff>
      <xdr:row>11</xdr:row>
      <xdr:rowOff>152400</xdr:rowOff>
    </xdr:from>
    <xdr:to>
      <xdr:col>14</xdr:col>
      <xdr:colOff>25400</xdr:colOff>
      <xdr:row>13</xdr:row>
      <xdr:rowOff>101600</xdr:rowOff>
    </xdr:to>
    <xdr:sp macro="" textlink="">
      <xdr:nvSpPr>
        <xdr:cNvPr id="157" name="TextBox 156">
          <a:extLst>
            <a:ext uri="{FF2B5EF4-FFF2-40B4-BE49-F238E27FC236}">
              <a16:creationId xmlns:a16="http://schemas.microsoft.com/office/drawing/2014/main" id="{ED9454B1-71E7-7441-AEF0-07F5D797691D}"/>
            </a:ext>
          </a:extLst>
        </xdr:cNvPr>
        <xdr:cNvSpPr txBox="1"/>
      </xdr:nvSpPr>
      <xdr:spPr>
        <a:xfrm>
          <a:off x="6140450" y="2397579"/>
          <a:ext cx="5886450" cy="357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Education</a:t>
          </a:r>
        </a:p>
      </xdr:txBody>
    </xdr:sp>
    <xdr:clientData/>
  </xdr:twoCellAnchor>
  <xdr:twoCellAnchor>
    <xdr:from>
      <xdr:col>6</xdr:col>
      <xdr:colOff>711200</xdr:colOff>
      <xdr:row>12</xdr:row>
      <xdr:rowOff>190500</xdr:rowOff>
    </xdr:from>
    <xdr:to>
      <xdr:col>14</xdr:col>
      <xdr:colOff>241300</xdr:colOff>
      <xdr:row>26</xdr:row>
      <xdr:rowOff>0</xdr:rowOff>
    </xdr:to>
    <xdr:graphicFrame macro="">
      <xdr:nvGraphicFramePr>
        <xdr:cNvPr id="158" name="Chart 157">
          <a:extLst>
            <a:ext uri="{FF2B5EF4-FFF2-40B4-BE49-F238E27FC236}">
              <a16:creationId xmlns:a16="http://schemas.microsoft.com/office/drawing/2014/main" id="{8CB348DA-AA4E-7E4A-B34E-50A56C9C2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596900</xdr:colOff>
      <xdr:row>11</xdr:row>
      <xdr:rowOff>190500</xdr:rowOff>
    </xdr:from>
    <xdr:to>
      <xdr:col>20</xdr:col>
      <xdr:colOff>800100</xdr:colOff>
      <xdr:row>13</xdr:row>
      <xdr:rowOff>114300</xdr:rowOff>
    </xdr:to>
    <xdr:sp macro="" textlink="">
      <xdr:nvSpPr>
        <xdr:cNvPr id="159" name="TextBox 158">
          <a:extLst>
            <a:ext uri="{FF2B5EF4-FFF2-40B4-BE49-F238E27FC236}">
              <a16:creationId xmlns:a16="http://schemas.microsoft.com/office/drawing/2014/main" id="{E6AA9F8B-4627-0D46-B388-A03F35BFF64D}"/>
            </a:ext>
          </a:extLst>
        </xdr:cNvPr>
        <xdr:cNvSpPr txBox="1"/>
      </xdr:nvSpPr>
      <xdr:spPr>
        <a:xfrm>
          <a:off x="12598400" y="2435679"/>
          <a:ext cx="5346700" cy="332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Job Role</a:t>
          </a:r>
        </a:p>
      </xdr:txBody>
    </xdr:sp>
    <xdr:clientData/>
  </xdr:twoCellAnchor>
  <xdr:twoCellAnchor>
    <xdr:from>
      <xdr:col>14</xdr:col>
      <xdr:colOff>292100</xdr:colOff>
      <xdr:row>13</xdr:row>
      <xdr:rowOff>101600</xdr:rowOff>
    </xdr:from>
    <xdr:to>
      <xdr:col>21</xdr:col>
      <xdr:colOff>226978</xdr:colOff>
      <xdr:row>26</xdr:row>
      <xdr:rowOff>76200</xdr:rowOff>
    </xdr:to>
    <mc:AlternateContent xmlns:mc="http://schemas.openxmlformats.org/markup-compatibility/2006">
      <mc:Choice xmlns:cx1="http://schemas.microsoft.com/office/drawing/2015/9/8/chartex" Requires="cx1">
        <xdr:graphicFrame macro="">
          <xdr:nvGraphicFramePr>
            <xdr:cNvPr id="160" name="Chart 159">
              <a:extLst>
                <a:ext uri="{FF2B5EF4-FFF2-40B4-BE49-F238E27FC236}">
                  <a16:creationId xmlns:a16="http://schemas.microsoft.com/office/drawing/2014/main" id="{91953E7D-2836-2947-9DBF-685BED816E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293600" y="2754993"/>
              <a:ext cx="5935628" cy="262799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774700</xdr:colOff>
      <xdr:row>26</xdr:row>
      <xdr:rowOff>127000</xdr:rowOff>
    </xdr:from>
    <xdr:to>
      <xdr:col>6</xdr:col>
      <xdr:colOff>393700</xdr:colOff>
      <xdr:row>28</xdr:row>
      <xdr:rowOff>76200</xdr:rowOff>
    </xdr:to>
    <xdr:sp macro="" textlink="">
      <xdr:nvSpPr>
        <xdr:cNvPr id="161" name="TextBox 160">
          <a:extLst>
            <a:ext uri="{FF2B5EF4-FFF2-40B4-BE49-F238E27FC236}">
              <a16:creationId xmlns:a16="http://schemas.microsoft.com/office/drawing/2014/main" id="{F24AE152-6D7C-D34B-A83E-FF927A5A2E83}"/>
            </a:ext>
          </a:extLst>
        </xdr:cNvPr>
        <xdr:cNvSpPr txBox="1"/>
      </xdr:nvSpPr>
      <xdr:spPr>
        <a:xfrm>
          <a:off x="774700" y="5433786"/>
          <a:ext cx="4762500" cy="357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Department</a:t>
          </a:r>
        </a:p>
      </xdr:txBody>
    </xdr:sp>
    <xdr:clientData/>
  </xdr:twoCellAnchor>
  <xdr:twoCellAnchor>
    <xdr:from>
      <xdr:col>0</xdr:col>
      <xdr:colOff>622300</xdr:colOff>
      <xdr:row>28</xdr:row>
      <xdr:rowOff>88900</xdr:rowOff>
    </xdr:from>
    <xdr:to>
      <xdr:col>6</xdr:col>
      <xdr:colOff>584200</xdr:colOff>
      <xdr:row>40</xdr:row>
      <xdr:rowOff>88900</xdr:rowOff>
    </xdr:to>
    <xdr:graphicFrame macro="">
      <xdr:nvGraphicFramePr>
        <xdr:cNvPr id="162" name="Chart 161">
          <a:extLst>
            <a:ext uri="{FF2B5EF4-FFF2-40B4-BE49-F238E27FC236}">
              <a16:creationId xmlns:a16="http://schemas.microsoft.com/office/drawing/2014/main" id="{9081410C-2B1D-6444-814A-D2CD98C22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127000</xdr:colOff>
      <xdr:row>26</xdr:row>
      <xdr:rowOff>101600</xdr:rowOff>
    </xdr:from>
    <xdr:to>
      <xdr:col>11</xdr:col>
      <xdr:colOff>762000</xdr:colOff>
      <xdr:row>28</xdr:row>
      <xdr:rowOff>88900</xdr:rowOff>
    </xdr:to>
    <xdr:sp macro="" textlink="">
      <xdr:nvSpPr>
        <xdr:cNvPr id="163" name="TextBox 162">
          <a:extLst>
            <a:ext uri="{FF2B5EF4-FFF2-40B4-BE49-F238E27FC236}">
              <a16:creationId xmlns:a16="http://schemas.microsoft.com/office/drawing/2014/main" id="{9184EC9A-DFCB-CB4C-9289-27E96F3DCA3B}"/>
            </a:ext>
          </a:extLst>
        </xdr:cNvPr>
        <xdr:cNvSpPr txBox="1"/>
      </xdr:nvSpPr>
      <xdr:spPr>
        <a:xfrm>
          <a:off x="6127750" y="5408386"/>
          <a:ext cx="4064000" cy="395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Age-Group</a:t>
          </a:r>
        </a:p>
      </xdr:txBody>
    </xdr:sp>
    <xdr:clientData/>
  </xdr:twoCellAnchor>
  <xdr:twoCellAnchor>
    <xdr:from>
      <xdr:col>6</xdr:col>
      <xdr:colOff>711200</xdr:colOff>
      <xdr:row>28</xdr:row>
      <xdr:rowOff>88900</xdr:rowOff>
    </xdr:from>
    <xdr:to>
      <xdr:col>12</xdr:col>
      <xdr:colOff>279400</xdr:colOff>
      <xdr:row>40</xdr:row>
      <xdr:rowOff>101600</xdr:rowOff>
    </xdr:to>
    <xdr:graphicFrame macro="">
      <xdr:nvGraphicFramePr>
        <xdr:cNvPr id="164" name="Chart 163">
          <a:extLst>
            <a:ext uri="{FF2B5EF4-FFF2-40B4-BE49-F238E27FC236}">
              <a16:creationId xmlns:a16="http://schemas.microsoft.com/office/drawing/2014/main" id="{CA1895A8-ED5F-CA44-BB3E-32D402C32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685800</xdr:colOff>
      <xdr:row>26</xdr:row>
      <xdr:rowOff>114300</xdr:rowOff>
    </xdr:from>
    <xdr:to>
      <xdr:col>16</xdr:col>
      <xdr:colOff>469900</xdr:colOff>
      <xdr:row>28</xdr:row>
      <xdr:rowOff>127000</xdr:rowOff>
    </xdr:to>
    <xdr:sp macro="" textlink="">
      <xdr:nvSpPr>
        <xdr:cNvPr id="165" name="TextBox 164">
          <a:extLst>
            <a:ext uri="{FF2B5EF4-FFF2-40B4-BE49-F238E27FC236}">
              <a16:creationId xmlns:a16="http://schemas.microsoft.com/office/drawing/2014/main" id="{B0641173-F75D-C94A-B7D6-831C6A7CCD50}"/>
            </a:ext>
          </a:extLst>
        </xdr:cNvPr>
        <xdr:cNvSpPr txBox="1"/>
      </xdr:nvSpPr>
      <xdr:spPr>
        <a:xfrm>
          <a:off x="10972800" y="5421086"/>
          <a:ext cx="3213100" cy="420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000">
              <a:latin typeface="Britannic Bold" panose="020B0903060703020204" pitchFamily="34" charset="77"/>
            </a:rPr>
            <a:t>Attrition By Marital-Status</a:t>
          </a:r>
        </a:p>
      </xdr:txBody>
    </xdr:sp>
    <xdr:clientData/>
  </xdr:twoCellAnchor>
  <xdr:twoCellAnchor>
    <xdr:from>
      <xdr:col>12</xdr:col>
      <xdr:colOff>393700</xdr:colOff>
      <xdr:row>28</xdr:row>
      <xdr:rowOff>101600</xdr:rowOff>
    </xdr:from>
    <xdr:to>
      <xdr:col>16</xdr:col>
      <xdr:colOff>723900</xdr:colOff>
      <xdr:row>40</xdr:row>
      <xdr:rowOff>88900</xdr:rowOff>
    </xdr:to>
    <mc:AlternateContent xmlns:mc="http://schemas.openxmlformats.org/markup-compatibility/2006">
      <mc:Choice xmlns:cx2="http://schemas.microsoft.com/office/drawing/2015/10/21/chartex" Requires="cx2">
        <xdr:graphicFrame macro="">
          <xdr:nvGraphicFramePr>
            <xdr:cNvPr id="166" name="Chart 165">
              <a:extLst>
                <a:ext uri="{FF2B5EF4-FFF2-40B4-BE49-F238E27FC236}">
                  <a16:creationId xmlns:a16="http://schemas.microsoft.com/office/drawing/2014/main" id="{429BE302-DB33-D349-B9AD-6F7D4B151C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680700" y="5816600"/>
              <a:ext cx="3759200" cy="243658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25400</xdr:colOff>
      <xdr:row>35</xdr:row>
      <xdr:rowOff>0</xdr:rowOff>
    </xdr:from>
    <xdr:to>
      <xdr:col>21</xdr:col>
      <xdr:colOff>165100</xdr:colOff>
      <xdr:row>40</xdr:row>
      <xdr:rowOff>101600</xdr:rowOff>
    </xdr:to>
    <mc:AlternateContent xmlns:mc="http://schemas.openxmlformats.org/markup-compatibility/2006">
      <mc:Choice xmlns:a14="http://schemas.microsoft.com/office/drawing/2010/main" Requires="a14">
        <xdr:graphicFrame macro="">
          <xdr:nvGraphicFramePr>
            <xdr:cNvPr id="167" name="Department 1">
              <a:extLst>
                <a:ext uri="{FF2B5EF4-FFF2-40B4-BE49-F238E27FC236}">
                  <a16:creationId xmlns:a16="http://schemas.microsoft.com/office/drawing/2014/main" id="{A9387ADB-893D-C548-BDBC-17D5284A452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4628091" y="6788727"/>
              <a:ext cx="3575627" cy="10714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25400</xdr:colOff>
      <xdr:row>26</xdr:row>
      <xdr:rowOff>60476</xdr:rowOff>
    </xdr:from>
    <xdr:to>
      <xdr:col>21</xdr:col>
      <xdr:colOff>139700</xdr:colOff>
      <xdr:row>34</xdr:row>
      <xdr:rowOff>84666</xdr:rowOff>
    </xdr:to>
    <mc:AlternateContent xmlns:mc="http://schemas.openxmlformats.org/markup-compatibility/2006">
      <mc:Choice xmlns:a14="http://schemas.microsoft.com/office/drawing/2010/main" Requires="a14">
        <xdr:graphicFrame macro="">
          <xdr:nvGraphicFramePr>
            <xdr:cNvPr id="168" name="Education Field 3">
              <a:extLst>
                <a:ext uri="{FF2B5EF4-FFF2-40B4-BE49-F238E27FC236}">
                  <a16:creationId xmlns:a16="http://schemas.microsoft.com/office/drawing/2014/main" id="{B6EB1463-B124-C14A-BC99-146FFC6E7A6B}"/>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14628091" y="5103531"/>
              <a:ext cx="3550227" cy="1575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c:userShapes xmlns:c="http://schemas.openxmlformats.org/drawingml/2006/chart">
  <cdr:relSizeAnchor xmlns:cdr="http://schemas.openxmlformats.org/drawingml/2006/chartDrawing">
    <cdr:from>
      <cdr:x>0.31606</cdr:x>
      <cdr:y>0.29861</cdr:y>
    </cdr:from>
    <cdr:to>
      <cdr:x>0.68912</cdr:x>
      <cdr:y>0.72222</cdr:y>
    </cdr:to>
    <cdr:sp macro="" textlink="'Employee by Gender'!$C$12">
      <cdr:nvSpPr>
        <cdr:cNvPr id="2" name="TextBox 1">
          <a:extLst xmlns:a="http://schemas.openxmlformats.org/drawingml/2006/main">
            <a:ext uri="{FF2B5EF4-FFF2-40B4-BE49-F238E27FC236}">
              <a16:creationId xmlns:a16="http://schemas.microsoft.com/office/drawing/2014/main" id="{BEE4983A-F916-9403-8400-1D5D2E634CFC}"/>
            </a:ext>
          </a:extLst>
        </cdr:cNvPr>
        <cdr:cNvSpPr txBox="1"/>
      </cdr:nvSpPr>
      <cdr:spPr>
        <a:xfrm xmlns:a="http://schemas.openxmlformats.org/drawingml/2006/main">
          <a:off x="774700" y="546100"/>
          <a:ext cx="914400" cy="774700"/>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AD004515-441F-DB48-9CAE-4E17E5D8FB91}" type="TxLink">
            <a:rPr lang="en-US" sz="2200" b="0" i="0" u="none" strike="noStrike">
              <a:solidFill>
                <a:srgbClr val="000000"/>
              </a:solidFill>
              <a:latin typeface="Britannic Bold" panose="020B0903060703020204" pitchFamily="34" charset="77"/>
              <a:cs typeface="Calibri"/>
            </a:rPr>
            <a:pPr algn="ctr"/>
            <a:t>40%</a:t>
          </a:fld>
          <a:endParaRPr lang="en-GB" sz="2200">
            <a:latin typeface="Britannic Bold" panose="020B0903060703020204" pitchFamily="34" charset="77"/>
          </a:endParaRPr>
        </a:p>
      </cdr:txBody>
    </cdr:sp>
  </cdr:relSizeAnchor>
  <cdr:relSizeAnchor xmlns:cdr="http://schemas.openxmlformats.org/drawingml/2006/chartDrawing">
    <cdr:from>
      <cdr:x>0.31606</cdr:x>
      <cdr:y>0.54861</cdr:y>
    </cdr:from>
    <cdr:to>
      <cdr:x>0.68912</cdr:x>
      <cdr:y>0.72222</cdr:y>
    </cdr:to>
    <cdr:sp macro="" textlink="">
      <cdr:nvSpPr>
        <cdr:cNvPr id="3" name="TextBox 2">
          <a:extLst xmlns:a="http://schemas.openxmlformats.org/drawingml/2006/main">
            <a:ext uri="{FF2B5EF4-FFF2-40B4-BE49-F238E27FC236}">
              <a16:creationId xmlns:a16="http://schemas.microsoft.com/office/drawing/2014/main" id="{8496CEE7-5160-8164-B128-15C61D616485}"/>
            </a:ext>
          </a:extLst>
        </cdr:cNvPr>
        <cdr:cNvSpPr txBox="1"/>
      </cdr:nvSpPr>
      <cdr:spPr>
        <a:xfrm xmlns:a="http://schemas.openxmlformats.org/drawingml/2006/main">
          <a:off x="774700" y="1003300"/>
          <a:ext cx="914400" cy="317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800">
              <a:latin typeface="Britannic Bold" panose="020B0903060703020204" pitchFamily="34" charset="77"/>
            </a:rPr>
            <a:t>Female</a:t>
          </a:r>
        </a:p>
      </cdr:txBody>
    </cdr:sp>
  </cdr:relSizeAnchor>
</c:userShapes>
</file>

<file path=xl/drawings/drawing12.xml><?xml version="1.0" encoding="utf-8"?>
<c:userShapes xmlns:c="http://schemas.openxmlformats.org/drawingml/2006/chart">
  <cdr:relSizeAnchor xmlns:cdr="http://schemas.openxmlformats.org/drawingml/2006/chartDrawing">
    <cdr:from>
      <cdr:x>0.325</cdr:x>
      <cdr:y>0.29932</cdr:y>
    </cdr:from>
    <cdr:to>
      <cdr:x>0.685</cdr:x>
      <cdr:y>0.71429</cdr:y>
    </cdr:to>
    <cdr:sp macro="" textlink="'Employee by Gender'!$C$13">
      <cdr:nvSpPr>
        <cdr:cNvPr id="6" name="TextBox 1">
          <a:extLst xmlns:a="http://schemas.openxmlformats.org/drawingml/2006/main">
            <a:ext uri="{FF2B5EF4-FFF2-40B4-BE49-F238E27FC236}">
              <a16:creationId xmlns:a16="http://schemas.microsoft.com/office/drawing/2014/main" id="{381237BB-E084-ACF3-2A46-707051F6836D}"/>
            </a:ext>
          </a:extLst>
        </cdr:cNvPr>
        <cdr:cNvSpPr txBox="1"/>
      </cdr:nvSpPr>
      <cdr:spPr>
        <a:xfrm xmlns:a="http://schemas.openxmlformats.org/drawingml/2006/main">
          <a:off x="825500" y="558800"/>
          <a:ext cx="914400" cy="774700"/>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86023F35-596C-AC42-A9D1-3E1353C6BEF6}" type="TxLink">
            <a:rPr lang="en-US" sz="2200" b="0" i="0" u="none" strike="noStrike">
              <a:solidFill>
                <a:srgbClr val="000000"/>
              </a:solidFill>
              <a:latin typeface="Britannic Bold" panose="020B0903060703020204" pitchFamily="34" charset="77"/>
              <a:cs typeface="Calibri"/>
            </a:rPr>
            <a:pPr algn="ctr"/>
            <a:t>60%</a:t>
          </a:fld>
          <a:endParaRPr lang="en-GB" sz="2200">
            <a:latin typeface="Britannic Bold" panose="020B0903060703020204" pitchFamily="34" charset="77"/>
          </a:endParaRPr>
        </a:p>
      </cdr:txBody>
    </cdr:sp>
  </cdr:relSizeAnchor>
  <cdr:relSizeAnchor xmlns:cdr="http://schemas.openxmlformats.org/drawingml/2006/chartDrawing">
    <cdr:from>
      <cdr:x>0.325</cdr:x>
      <cdr:y>0.54422</cdr:y>
    </cdr:from>
    <cdr:to>
      <cdr:x>0.685</cdr:x>
      <cdr:y>0.71429</cdr:y>
    </cdr:to>
    <cdr:sp macro="" textlink="">
      <cdr:nvSpPr>
        <cdr:cNvPr id="7" name="TextBox 2">
          <a:extLst xmlns:a="http://schemas.openxmlformats.org/drawingml/2006/main">
            <a:ext uri="{FF2B5EF4-FFF2-40B4-BE49-F238E27FC236}">
              <a16:creationId xmlns:a16="http://schemas.microsoft.com/office/drawing/2014/main" id="{6E19E95C-E2EB-B459-B42E-11982EB18011}"/>
            </a:ext>
          </a:extLst>
        </cdr:cNvPr>
        <cdr:cNvSpPr txBox="1"/>
      </cdr:nvSpPr>
      <cdr:spPr>
        <a:xfrm xmlns:a="http://schemas.openxmlformats.org/drawingml/2006/main">
          <a:off x="825500" y="1016000"/>
          <a:ext cx="914400" cy="3175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latin typeface="Britannic Bold" panose="020B0903060703020204" pitchFamily="34" charset="77"/>
            </a:rPr>
            <a:t>Male</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KUMAR" refreshedDate="45127.727617476849" createdVersion="8" refreshedVersion="8" minRefreshableVersion="3" recordCount="1470" xr:uid="{C13B1C94-179E-C34C-AAFB-5E95AAAD35F3}">
  <cacheSource type="worksheet">
    <worksheetSource name="Table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38952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x v="0"/>
    <x v="0"/>
    <x v="0"/>
    <x v="0"/>
    <s v="Yes"/>
    <s v="Y"/>
    <n v="0"/>
    <n v="-2"/>
    <n v="0"/>
    <x v="0"/>
    <n v="1"/>
    <n v="1"/>
    <n v="1"/>
    <n v="0"/>
    <n v="1102"/>
    <n v="1"/>
    <x v="0"/>
    <n v="1"/>
    <n v="2"/>
    <n v="94"/>
    <n v="3"/>
    <n v="2"/>
    <n v="4"/>
    <n v="5993"/>
    <n v="19479"/>
    <n v="8"/>
    <n v="11"/>
    <n v="3"/>
    <n v="1"/>
    <n v="80"/>
    <n v="0"/>
    <n v="8"/>
    <n v="1"/>
    <n v="6"/>
    <n v="4"/>
    <n v="0"/>
    <n v="5"/>
  </r>
  <r>
    <s v="No"/>
    <s v="Travel_Frequently"/>
    <x v="1"/>
    <s v="Current Employees"/>
    <x v="1"/>
    <x v="0"/>
    <s v="STAFF-2"/>
    <x v="1"/>
    <x v="1"/>
    <x v="1"/>
    <x v="1"/>
    <s v="No"/>
    <s v="Y"/>
    <n v="3"/>
    <n v="-2"/>
    <n v="0"/>
    <x v="1"/>
    <n v="0"/>
    <m/>
    <n v="0"/>
    <n v="1"/>
    <n v="279"/>
    <n v="8"/>
    <x v="1"/>
    <n v="1"/>
    <n v="3"/>
    <n v="61"/>
    <n v="2"/>
    <n v="2"/>
    <n v="2"/>
    <n v="5130"/>
    <n v="24907"/>
    <n v="1"/>
    <n v="23"/>
    <n v="4"/>
    <n v="4"/>
    <n v="80"/>
    <n v="1"/>
    <n v="10"/>
    <n v="3"/>
    <n v="10"/>
    <n v="7"/>
    <n v="1"/>
    <n v="7"/>
  </r>
  <r>
    <s v="Yes"/>
    <s v="Travel_Rarely"/>
    <x v="0"/>
    <s v="Ex-Employees"/>
    <x v="1"/>
    <x v="1"/>
    <s v="STAFF-4"/>
    <x v="2"/>
    <x v="1"/>
    <x v="2"/>
    <x v="0"/>
    <s v="Yes"/>
    <s v="Y"/>
    <n v="3"/>
    <n v="-2"/>
    <n v="0"/>
    <x v="2"/>
    <n v="1"/>
    <n v="1"/>
    <n v="1"/>
    <n v="0"/>
    <n v="1373"/>
    <n v="2"/>
    <x v="0"/>
    <n v="1"/>
    <n v="4"/>
    <n v="92"/>
    <n v="2"/>
    <n v="1"/>
    <n v="3"/>
    <n v="2090"/>
    <n v="2396"/>
    <n v="6"/>
    <n v="15"/>
    <n v="3"/>
    <n v="2"/>
    <n v="80"/>
    <n v="0"/>
    <n v="7"/>
    <n v="3"/>
    <n v="0"/>
    <n v="0"/>
    <n v="0"/>
    <n v="0"/>
  </r>
  <r>
    <s v="No"/>
    <s v="Travel_Frequently"/>
    <x v="2"/>
    <s v="Current Employees"/>
    <x v="1"/>
    <x v="0"/>
    <s v="STAFF-5"/>
    <x v="3"/>
    <x v="0"/>
    <x v="1"/>
    <x v="1"/>
    <s v="Yes"/>
    <s v="Y"/>
    <n v="3"/>
    <n v="-2"/>
    <n v="0"/>
    <x v="3"/>
    <n v="0"/>
    <m/>
    <n v="0"/>
    <n v="1"/>
    <n v="1392"/>
    <n v="3"/>
    <x v="2"/>
    <n v="1"/>
    <n v="4"/>
    <n v="56"/>
    <n v="3"/>
    <n v="1"/>
    <n v="3"/>
    <n v="2909"/>
    <n v="23159"/>
    <n v="1"/>
    <n v="11"/>
    <n v="3"/>
    <n v="3"/>
    <n v="80"/>
    <n v="0"/>
    <n v="8"/>
    <n v="3"/>
    <n v="8"/>
    <n v="7"/>
    <n v="3"/>
    <n v="0"/>
  </r>
  <r>
    <s v="No"/>
    <s v="Travel_Rarely"/>
    <x v="2"/>
    <s v="Current Employees"/>
    <x v="1"/>
    <x v="2"/>
    <s v="STAFF-7"/>
    <x v="4"/>
    <x v="1"/>
    <x v="2"/>
    <x v="1"/>
    <s v="No"/>
    <s v="Y"/>
    <n v="3"/>
    <n v="-2"/>
    <n v="0"/>
    <x v="4"/>
    <n v="0"/>
    <m/>
    <n v="0"/>
    <n v="1"/>
    <n v="591"/>
    <n v="2"/>
    <x v="1"/>
    <n v="1"/>
    <n v="1"/>
    <n v="40"/>
    <n v="3"/>
    <n v="1"/>
    <n v="2"/>
    <n v="3468"/>
    <n v="16632"/>
    <n v="9"/>
    <n v="12"/>
    <n v="3"/>
    <n v="4"/>
    <n v="80"/>
    <n v="1"/>
    <n v="6"/>
    <n v="3"/>
    <n v="2"/>
    <n v="2"/>
    <n v="2"/>
    <n v="2"/>
  </r>
  <r>
    <s v="No"/>
    <s v="Travel_Frequently"/>
    <x v="2"/>
    <s v="Current Employees"/>
    <x v="1"/>
    <x v="0"/>
    <s v="STAFF-8"/>
    <x v="5"/>
    <x v="1"/>
    <x v="2"/>
    <x v="0"/>
    <s v="No"/>
    <s v="Y"/>
    <n v="2"/>
    <n v="-2"/>
    <n v="0"/>
    <x v="5"/>
    <n v="0"/>
    <m/>
    <n v="0"/>
    <n v="1"/>
    <n v="1005"/>
    <n v="2"/>
    <x v="0"/>
    <n v="1"/>
    <n v="4"/>
    <n v="79"/>
    <n v="3"/>
    <n v="1"/>
    <n v="2"/>
    <n v="3068"/>
    <n v="11864"/>
    <n v="0"/>
    <n v="13"/>
    <n v="3"/>
    <n v="3"/>
    <n v="80"/>
    <n v="0"/>
    <n v="8"/>
    <n v="2"/>
    <n v="7"/>
    <n v="7"/>
    <n v="3"/>
    <n v="6"/>
  </r>
  <r>
    <s v="No"/>
    <s v="Travel_Rarely"/>
    <x v="3"/>
    <s v="Current Employees"/>
    <x v="1"/>
    <x v="2"/>
    <s v="STAFF-10"/>
    <x v="6"/>
    <x v="0"/>
    <x v="2"/>
    <x v="1"/>
    <s v="Yes"/>
    <s v="Y"/>
    <n v="3"/>
    <n v="-2"/>
    <n v="0"/>
    <x v="6"/>
    <n v="0"/>
    <m/>
    <n v="0"/>
    <n v="1"/>
    <n v="1324"/>
    <n v="3"/>
    <x v="3"/>
    <n v="1"/>
    <n v="3"/>
    <n v="81"/>
    <n v="4"/>
    <n v="1"/>
    <n v="4"/>
    <n v="2670"/>
    <n v="9964"/>
    <n v="4"/>
    <n v="20"/>
    <n v="4"/>
    <n v="1"/>
    <n v="80"/>
    <n v="3"/>
    <n v="12"/>
    <n v="2"/>
    <n v="1"/>
    <n v="0"/>
    <n v="0"/>
    <n v="0"/>
  </r>
  <r>
    <s v="No"/>
    <s v="Travel_Rarely"/>
    <x v="2"/>
    <s v="Current Employees"/>
    <x v="1"/>
    <x v="0"/>
    <s v="STAFF-11"/>
    <x v="7"/>
    <x v="1"/>
    <x v="2"/>
    <x v="2"/>
    <s v="No"/>
    <s v="Y"/>
    <n v="2"/>
    <n v="-2"/>
    <n v="0"/>
    <x v="7"/>
    <n v="0"/>
    <m/>
    <n v="0"/>
    <n v="1"/>
    <n v="1358"/>
    <n v="24"/>
    <x v="1"/>
    <n v="1"/>
    <n v="4"/>
    <n v="67"/>
    <n v="3"/>
    <n v="1"/>
    <n v="2"/>
    <n v="2693"/>
    <n v="13335"/>
    <n v="1"/>
    <n v="22"/>
    <n v="4"/>
    <n v="2"/>
    <n v="80"/>
    <n v="1"/>
    <n v="1"/>
    <n v="3"/>
    <n v="1"/>
    <n v="0"/>
    <n v="0"/>
    <n v="0"/>
  </r>
  <r>
    <s v="No"/>
    <s v="Travel_Frequently"/>
    <x v="0"/>
    <s v="Current Employees"/>
    <x v="1"/>
    <x v="0"/>
    <s v="STAFF-12"/>
    <x v="8"/>
    <x v="1"/>
    <x v="3"/>
    <x v="0"/>
    <s v="No"/>
    <s v="Y"/>
    <n v="2"/>
    <n v="-2"/>
    <n v="0"/>
    <x v="8"/>
    <n v="0"/>
    <m/>
    <n v="0"/>
    <n v="1"/>
    <n v="216"/>
    <n v="23"/>
    <x v="3"/>
    <n v="1"/>
    <n v="4"/>
    <n v="44"/>
    <n v="2"/>
    <n v="3"/>
    <n v="2"/>
    <n v="9526"/>
    <n v="8787"/>
    <n v="0"/>
    <n v="21"/>
    <n v="4"/>
    <n v="2"/>
    <n v="80"/>
    <n v="0"/>
    <n v="10"/>
    <n v="3"/>
    <n v="9"/>
    <n v="7"/>
    <n v="1"/>
    <n v="8"/>
  </r>
  <r>
    <s v="No"/>
    <s v="Travel_Rarely"/>
    <x v="0"/>
    <s v="Current Employees"/>
    <x v="1"/>
    <x v="2"/>
    <s v="STAFF-13"/>
    <x v="9"/>
    <x v="1"/>
    <x v="4"/>
    <x v="1"/>
    <s v="No"/>
    <s v="Y"/>
    <n v="3"/>
    <n v="-2"/>
    <n v="0"/>
    <x v="9"/>
    <n v="0"/>
    <m/>
    <n v="0"/>
    <n v="1"/>
    <n v="1299"/>
    <n v="27"/>
    <x v="3"/>
    <n v="1"/>
    <n v="3"/>
    <n v="94"/>
    <n v="3"/>
    <n v="2"/>
    <n v="3"/>
    <n v="5237"/>
    <n v="16577"/>
    <n v="6"/>
    <n v="13"/>
    <n v="3"/>
    <n v="2"/>
    <n v="80"/>
    <n v="2"/>
    <n v="17"/>
    <n v="2"/>
    <n v="7"/>
    <n v="7"/>
    <n v="7"/>
    <n v="7"/>
  </r>
  <r>
    <s v="No"/>
    <s v="Travel_Rarely"/>
    <x v="0"/>
    <s v="Current Employees"/>
    <x v="1"/>
    <x v="2"/>
    <s v="STAFF-14"/>
    <x v="10"/>
    <x v="1"/>
    <x v="2"/>
    <x v="1"/>
    <s v="No"/>
    <s v="Y"/>
    <n v="5"/>
    <n v="-2"/>
    <n v="0"/>
    <x v="10"/>
    <n v="0"/>
    <m/>
    <n v="0"/>
    <n v="1"/>
    <n v="809"/>
    <n v="16"/>
    <x v="3"/>
    <n v="1"/>
    <n v="1"/>
    <n v="84"/>
    <n v="4"/>
    <n v="1"/>
    <n v="2"/>
    <n v="2426"/>
    <n v="16479"/>
    <n v="0"/>
    <n v="13"/>
    <n v="3"/>
    <n v="3"/>
    <n v="80"/>
    <n v="1"/>
    <n v="6"/>
    <n v="3"/>
    <n v="5"/>
    <n v="4"/>
    <n v="0"/>
    <n v="3"/>
  </r>
  <r>
    <s v="No"/>
    <s v="Travel_Rarely"/>
    <x v="2"/>
    <s v="Current Employees"/>
    <x v="1"/>
    <x v="0"/>
    <s v="STAFF-15"/>
    <x v="11"/>
    <x v="0"/>
    <x v="2"/>
    <x v="0"/>
    <s v="Yes"/>
    <s v="Y"/>
    <n v="3"/>
    <n v="-2"/>
    <n v="0"/>
    <x v="11"/>
    <n v="0"/>
    <m/>
    <n v="0"/>
    <n v="1"/>
    <n v="153"/>
    <n v="15"/>
    <x v="0"/>
    <n v="1"/>
    <n v="4"/>
    <n v="49"/>
    <n v="2"/>
    <n v="2"/>
    <n v="2"/>
    <n v="4193"/>
    <n v="12682"/>
    <n v="0"/>
    <n v="12"/>
    <n v="3"/>
    <n v="4"/>
    <n v="80"/>
    <n v="0"/>
    <n v="10"/>
    <n v="3"/>
    <n v="9"/>
    <n v="5"/>
    <n v="0"/>
    <n v="8"/>
  </r>
  <r>
    <s v="No"/>
    <s v="Travel_Rarely"/>
    <x v="2"/>
    <s v="Current Employees"/>
    <x v="1"/>
    <x v="0"/>
    <s v="STAFF-16"/>
    <x v="12"/>
    <x v="1"/>
    <x v="1"/>
    <x v="2"/>
    <s v="No"/>
    <s v="Y"/>
    <n v="1"/>
    <n v="-2"/>
    <n v="0"/>
    <x v="12"/>
    <n v="0"/>
    <m/>
    <n v="0"/>
    <n v="1"/>
    <n v="670"/>
    <n v="26"/>
    <x v="1"/>
    <n v="1"/>
    <n v="1"/>
    <n v="31"/>
    <n v="3"/>
    <n v="1"/>
    <n v="2"/>
    <n v="2911"/>
    <n v="15170"/>
    <n v="1"/>
    <n v="17"/>
    <n v="3"/>
    <n v="4"/>
    <n v="80"/>
    <n v="1"/>
    <n v="5"/>
    <n v="2"/>
    <n v="5"/>
    <n v="2"/>
    <n v="4"/>
    <n v="3"/>
  </r>
  <r>
    <s v="No"/>
    <s v="Travel_Rarely"/>
    <x v="2"/>
    <s v="Current Employees"/>
    <x v="1"/>
    <x v="2"/>
    <s v="STAFF-18"/>
    <x v="13"/>
    <x v="1"/>
    <x v="2"/>
    <x v="2"/>
    <s v="No"/>
    <s v="Y"/>
    <n v="2"/>
    <n v="-2"/>
    <n v="0"/>
    <x v="13"/>
    <n v="0"/>
    <m/>
    <n v="0"/>
    <n v="1"/>
    <n v="1346"/>
    <n v="19"/>
    <x v="0"/>
    <n v="1"/>
    <n v="2"/>
    <n v="93"/>
    <n v="3"/>
    <n v="1"/>
    <n v="4"/>
    <n v="2661"/>
    <n v="8758"/>
    <n v="0"/>
    <n v="11"/>
    <n v="3"/>
    <n v="3"/>
    <n v="80"/>
    <n v="1"/>
    <n v="3"/>
    <n v="3"/>
    <n v="2"/>
    <n v="2"/>
    <n v="1"/>
    <n v="2"/>
  </r>
  <r>
    <s v="Yes"/>
    <s v="Travel_Rarely"/>
    <x v="2"/>
    <s v="Ex-Employees"/>
    <x v="1"/>
    <x v="0"/>
    <s v="STAFF-19"/>
    <x v="14"/>
    <x v="1"/>
    <x v="2"/>
    <x v="0"/>
    <s v="Yes"/>
    <s v="Y"/>
    <n v="4"/>
    <n v="-2"/>
    <n v="0"/>
    <x v="14"/>
    <n v="1"/>
    <n v="1"/>
    <n v="1"/>
    <n v="0"/>
    <n v="103"/>
    <n v="24"/>
    <x v="3"/>
    <n v="1"/>
    <n v="3"/>
    <n v="50"/>
    <n v="2"/>
    <n v="1"/>
    <n v="2"/>
    <n v="2028"/>
    <n v="12947"/>
    <n v="5"/>
    <n v="14"/>
    <n v="3"/>
    <n v="2"/>
    <n v="80"/>
    <n v="0"/>
    <n v="6"/>
    <n v="3"/>
    <n v="4"/>
    <n v="2"/>
    <n v="0"/>
    <n v="3"/>
  </r>
  <r>
    <s v="No"/>
    <s v="Travel_Rarely"/>
    <x v="2"/>
    <s v="Current Employees"/>
    <x v="1"/>
    <x v="0"/>
    <s v="STAFF-20"/>
    <x v="15"/>
    <x v="0"/>
    <x v="3"/>
    <x v="2"/>
    <s v="No"/>
    <s v="Y"/>
    <n v="1"/>
    <n v="-2"/>
    <n v="0"/>
    <x v="11"/>
    <n v="0"/>
    <m/>
    <n v="0"/>
    <n v="1"/>
    <n v="1389"/>
    <n v="21"/>
    <x v="2"/>
    <n v="1"/>
    <n v="2"/>
    <n v="51"/>
    <n v="4"/>
    <n v="3"/>
    <n v="2"/>
    <n v="9980"/>
    <n v="10195"/>
    <n v="1"/>
    <n v="11"/>
    <n v="3"/>
    <n v="3"/>
    <n v="80"/>
    <n v="1"/>
    <n v="10"/>
    <n v="3"/>
    <n v="10"/>
    <n v="9"/>
    <n v="8"/>
    <n v="8"/>
  </r>
  <r>
    <s v="No"/>
    <s v="Travel_Rarely"/>
    <x v="2"/>
    <s v="Current Employees"/>
    <x v="1"/>
    <x v="0"/>
    <s v="STAFF-21"/>
    <x v="16"/>
    <x v="1"/>
    <x v="1"/>
    <x v="2"/>
    <s v="Yes"/>
    <s v="Y"/>
    <n v="5"/>
    <n v="-2"/>
    <n v="0"/>
    <x v="5"/>
    <n v="0"/>
    <m/>
    <n v="0"/>
    <n v="1"/>
    <n v="334"/>
    <n v="5"/>
    <x v="0"/>
    <n v="1"/>
    <n v="1"/>
    <n v="80"/>
    <n v="4"/>
    <n v="1"/>
    <n v="2"/>
    <n v="3298"/>
    <n v="15053"/>
    <n v="0"/>
    <n v="12"/>
    <n v="3"/>
    <n v="4"/>
    <n v="80"/>
    <n v="2"/>
    <n v="7"/>
    <n v="2"/>
    <n v="6"/>
    <n v="2"/>
    <n v="0"/>
    <n v="5"/>
  </r>
  <r>
    <s v="No"/>
    <s v="Non-Travel"/>
    <x v="4"/>
    <s v="Current Employees"/>
    <x v="1"/>
    <x v="2"/>
    <s v="STAFF-22"/>
    <x v="17"/>
    <x v="1"/>
    <x v="2"/>
    <x v="2"/>
    <s v="Yes"/>
    <s v="Y"/>
    <n v="2"/>
    <n v="-2"/>
    <n v="0"/>
    <x v="15"/>
    <n v="0"/>
    <m/>
    <n v="0"/>
    <n v="1"/>
    <n v="1123"/>
    <n v="16"/>
    <x v="0"/>
    <n v="1"/>
    <n v="4"/>
    <n v="96"/>
    <n v="4"/>
    <n v="1"/>
    <n v="4"/>
    <n v="2935"/>
    <n v="7324"/>
    <n v="1"/>
    <n v="13"/>
    <n v="3"/>
    <n v="2"/>
    <n v="80"/>
    <n v="2"/>
    <n v="1"/>
    <n v="2"/>
    <n v="1"/>
    <n v="0"/>
    <n v="0"/>
    <n v="0"/>
  </r>
  <r>
    <s v="No"/>
    <s v="Travel_Rarely"/>
    <x v="1"/>
    <s v="Current Employees"/>
    <x v="0"/>
    <x v="0"/>
    <s v="STAFF-23"/>
    <x v="18"/>
    <x v="0"/>
    <x v="5"/>
    <x v="1"/>
    <s v="No"/>
    <s v="Y"/>
    <n v="3"/>
    <n v="-2"/>
    <n v="0"/>
    <x v="16"/>
    <n v="0"/>
    <m/>
    <n v="0"/>
    <n v="1"/>
    <n v="1219"/>
    <n v="2"/>
    <x v="2"/>
    <n v="1"/>
    <n v="1"/>
    <n v="78"/>
    <n v="2"/>
    <n v="4"/>
    <n v="2"/>
    <n v="15427"/>
    <n v="22021"/>
    <n v="2"/>
    <n v="16"/>
    <n v="3"/>
    <n v="3"/>
    <n v="80"/>
    <n v="0"/>
    <n v="31"/>
    <n v="3"/>
    <n v="25"/>
    <n v="8"/>
    <n v="3"/>
    <n v="7"/>
  </r>
  <r>
    <s v="No"/>
    <s v="Travel_Rarely"/>
    <x v="0"/>
    <s v="Current Employees"/>
    <x v="1"/>
    <x v="0"/>
    <s v="STAFF-24"/>
    <x v="19"/>
    <x v="1"/>
    <x v="1"/>
    <x v="0"/>
    <s v="Yes"/>
    <s v="Y"/>
    <n v="3"/>
    <n v="-2"/>
    <n v="0"/>
    <x v="8"/>
    <n v="0"/>
    <m/>
    <n v="0"/>
    <n v="1"/>
    <n v="371"/>
    <n v="2"/>
    <x v="3"/>
    <n v="1"/>
    <n v="4"/>
    <n v="45"/>
    <n v="3"/>
    <n v="1"/>
    <n v="2"/>
    <n v="3944"/>
    <n v="4306"/>
    <n v="5"/>
    <n v="11"/>
    <n v="3"/>
    <n v="3"/>
    <n v="80"/>
    <n v="0"/>
    <n v="6"/>
    <n v="3"/>
    <n v="3"/>
    <n v="2"/>
    <n v="1"/>
    <n v="2"/>
  </r>
  <r>
    <s v="No"/>
    <s v="Non-Travel"/>
    <x v="4"/>
    <s v="Current Employees"/>
    <x v="1"/>
    <x v="1"/>
    <s v="STAFF-26"/>
    <x v="20"/>
    <x v="0"/>
    <x v="3"/>
    <x v="2"/>
    <s v="No"/>
    <s v="Y"/>
    <n v="5"/>
    <n v="-2"/>
    <n v="0"/>
    <x v="17"/>
    <n v="0"/>
    <m/>
    <n v="0"/>
    <n v="1"/>
    <n v="673"/>
    <n v="11"/>
    <x v="0"/>
    <n v="1"/>
    <n v="1"/>
    <n v="96"/>
    <n v="4"/>
    <n v="2"/>
    <n v="3"/>
    <n v="4011"/>
    <n v="8232"/>
    <n v="0"/>
    <n v="18"/>
    <n v="3"/>
    <n v="4"/>
    <n v="80"/>
    <n v="1"/>
    <n v="5"/>
    <n v="2"/>
    <n v="4"/>
    <n v="2"/>
    <n v="1"/>
    <n v="3"/>
  </r>
  <r>
    <s v="Yes"/>
    <s v="Travel_Rarely"/>
    <x v="0"/>
    <s v="Ex-Employees"/>
    <x v="0"/>
    <x v="0"/>
    <s v="STAFF-27"/>
    <x v="21"/>
    <x v="1"/>
    <x v="6"/>
    <x v="0"/>
    <s v="No"/>
    <s v="Y"/>
    <n v="4"/>
    <n v="-2"/>
    <n v="0"/>
    <x v="9"/>
    <n v="1"/>
    <n v="1"/>
    <n v="1"/>
    <n v="0"/>
    <n v="1218"/>
    <n v="9"/>
    <x v="2"/>
    <n v="1"/>
    <n v="3"/>
    <n v="82"/>
    <n v="2"/>
    <n v="1"/>
    <n v="2"/>
    <n v="3407"/>
    <n v="6986"/>
    <n v="7"/>
    <n v="23"/>
    <n v="4"/>
    <n v="2"/>
    <n v="80"/>
    <n v="0"/>
    <n v="10"/>
    <n v="3"/>
    <n v="5"/>
    <n v="3"/>
    <n v="0"/>
    <n v="3"/>
  </r>
  <r>
    <s v="No"/>
    <s v="Travel_Rarely"/>
    <x v="2"/>
    <s v="Current Employees"/>
    <x v="1"/>
    <x v="0"/>
    <s v="STAFF-28"/>
    <x v="22"/>
    <x v="0"/>
    <x v="7"/>
    <x v="0"/>
    <s v="No"/>
    <s v="Y"/>
    <n v="4"/>
    <n v="-2"/>
    <n v="0"/>
    <x v="13"/>
    <n v="0"/>
    <m/>
    <n v="0"/>
    <n v="1"/>
    <n v="419"/>
    <n v="7"/>
    <x v="2"/>
    <n v="1"/>
    <n v="1"/>
    <n v="53"/>
    <n v="3"/>
    <n v="3"/>
    <n v="2"/>
    <n v="11994"/>
    <n v="21293"/>
    <n v="0"/>
    <n v="11"/>
    <n v="3"/>
    <n v="3"/>
    <n v="80"/>
    <n v="0"/>
    <n v="13"/>
    <n v="3"/>
    <n v="12"/>
    <n v="6"/>
    <n v="2"/>
    <n v="11"/>
  </r>
  <r>
    <s v="No"/>
    <s v="Travel_Rarely"/>
    <x v="4"/>
    <s v="Current Employees"/>
    <x v="1"/>
    <x v="0"/>
    <s v="STAFF-30"/>
    <x v="23"/>
    <x v="1"/>
    <x v="1"/>
    <x v="0"/>
    <s v="No"/>
    <s v="Y"/>
    <n v="6"/>
    <n v="-2"/>
    <n v="0"/>
    <x v="18"/>
    <n v="0"/>
    <m/>
    <n v="0"/>
    <n v="1"/>
    <n v="391"/>
    <n v="15"/>
    <x v="0"/>
    <n v="1"/>
    <n v="3"/>
    <n v="96"/>
    <n v="3"/>
    <n v="1"/>
    <n v="2"/>
    <n v="1232"/>
    <n v="19281"/>
    <n v="1"/>
    <n v="14"/>
    <n v="3"/>
    <n v="4"/>
    <n v="80"/>
    <n v="0"/>
    <n v="0"/>
    <n v="3"/>
    <n v="0"/>
    <n v="0"/>
    <n v="0"/>
    <n v="0"/>
  </r>
  <r>
    <s v="Yes"/>
    <s v="Travel_Rarely"/>
    <x v="2"/>
    <s v="Ex-Employees"/>
    <x v="1"/>
    <x v="2"/>
    <s v="STAFF-31"/>
    <x v="24"/>
    <x v="1"/>
    <x v="1"/>
    <x v="0"/>
    <s v="No"/>
    <s v="Y"/>
    <n v="2"/>
    <n v="-2"/>
    <n v="0"/>
    <x v="13"/>
    <n v="1"/>
    <n v="1"/>
    <n v="1"/>
    <n v="0"/>
    <n v="699"/>
    <n v="6"/>
    <x v="1"/>
    <n v="1"/>
    <n v="2"/>
    <n v="83"/>
    <n v="3"/>
    <n v="1"/>
    <n v="4"/>
    <n v="2960"/>
    <n v="17102"/>
    <n v="2"/>
    <n v="11"/>
    <n v="3"/>
    <n v="3"/>
    <n v="80"/>
    <n v="0"/>
    <n v="8"/>
    <n v="3"/>
    <n v="4"/>
    <n v="2"/>
    <n v="1"/>
    <n v="3"/>
  </r>
  <r>
    <s v="No"/>
    <s v="Travel_Rarely"/>
    <x v="1"/>
    <s v="Current Employees"/>
    <x v="1"/>
    <x v="1"/>
    <s v="STAFF-32"/>
    <x v="25"/>
    <x v="0"/>
    <x v="5"/>
    <x v="2"/>
    <s v="No"/>
    <s v="Y"/>
    <n v="3"/>
    <n v="-2"/>
    <n v="0"/>
    <x v="16"/>
    <n v="0"/>
    <m/>
    <n v="0"/>
    <n v="1"/>
    <n v="1282"/>
    <n v="5"/>
    <x v="3"/>
    <n v="1"/>
    <n v="3"/>
    <n v="58"/>
    <n v="3"/>
    <n v="5"/>
    <n v="3"/>
    <n v="19094"/>
    <n v="10735"/>
    <n v="4"/>
    <n v="11"/>
    <n v="3"/>
    <n v="4"/>
    <n v="80"/>
    <n v="1"/>
    <n v="26"/>
    <n v="2"/>
    <n v="14"/>
    <n v="13"/>
    <n v="4"/>
    <n v="8"/>
  </r>
  <r>
    <s v="Yes"/>
    <s v="Travel_Frequently"/>
    <x v="2"/>
    <s v="Ex-Employees"/>
    <x v="1"/>
    <x v="0"/>
    <s v="STAFF-33"/>
    <x v="26"/>
    <x v="0"/>
    <x v="1"/>
    <x v="0"/>
    <s v="Yes"/>
    <s v="Y"/>
    <n v="5"/>
    <n v="-2"/>
    <n v="0"/>
    <x v="5"/>
    <n v="1"/>
    <n v="1"/>
    <n v="1"/>
    <n v="0"/>
    <n v="1125"/>
    <n v="16"/>
    <x v="1"/>
    <n v="1"/>
    <n v="2"/>
    <n v="72"/>
    <n v="1"/>
    <n v="1"/>
    <n v="2"/>
    <n v="3919"/>
    <n v="4681"/>
    <n v="1"/>
    <n v="22"/>
    <n v="4"/>
    <n v="2"/>
    <n v="80"/>
    <n v="0"/>
    <n v="10"/>
    <n v="3"/>
    <n v="10"/>
    <n v="2"/>
    <n v="6"/>
    <n v="7"/>
  </r>
  <r>
    <s v="No"/>
    <s v="Travel_Rarely"/>
    <x v="0"/>
    <s v="Current Employees"/>
    <x v="0"/>
    <x v="3"/>
    <s v="STAFF-35"/>
    <x v="27"/>
    <x v="1"/>
    <x v="0"/>
    <x v="1"/>
    <s v="No"/>
    <s v="Y"/>
    <n v="2"/>
    <n v="-2"/>
    <n v="0"/>
    <x v="19"/>
    <n v="0"/>
    <m/>
    <n v="0"/>
    <n v="1"/>
    <n v="691"/>
    <n v="8"/>
    <x v="2"/>
    <n v="1"/>
    <n v="3"/>
    <n v="48"/>
    <n v="3"/>
    <n v="2"/>
    <n v="3"/>
    <n v="6825"/>
    <n v="21173"/>
    <n v="0"/>
    <n v="11"/>
    <n v="3"/>
    <n v="4"/>
    <n v="80"/>
    <n v="1"/>
    <n v="10"/>
    <n v="3"/>
    <n v="9"/>
    <n v="7"/>
    <n v="4"/>
    <n v="2"/>
  </r>
  <r>
    <s v="No"/>
    <s v="Travel_Rarely"/>
    <x v="0"/>
    <s v="Current Employees"/>
    <x v="1"/>
    <x v="2"/>
    <s v="STAFF-36"/>
    <x v="28"/>
    <x v="0"/>
    <x v="4"/>
    <x v="1"/>
    <s v="No"/>
    <s v="Y"/>
    <n v="4"/>
    <n v="-2"/>
    <n v="0"/>
    <x v="20"/>
    <n v="0"/>
    <m/>
    <n v="0"/>
    <n v="1"/>
    <n v="477"/>
    <n v="7"/>
    <x v="2"/>
    <n v="1"/>
    <n v="1"/>
    <n v="42"/>
    <n v="2"/>
    <n v="3"/>
    <n v="4"/>
    <n v="10248"/>
    <n v="2094"/>
    <n v="3"/>
    <n v="14"/>
    <n v="3"/>
    <n v="4"/>
    <n v="80"/>
    <n v="1"/>
    <n v="24"/>
    <n v="3"/>
    <n v="22"/>
    <n v="6"/>
    <n v="5"/>
    <n v="17"/>
  </r>
  <r>
    <s v="No"/>
    <s v="Travel_Rarely"/>
    <x v="1"/>
    <s v="Current Employees"/>
    <x v="0"/>
    <x v="3"/>
    <s v="STAFF-38"/>
    <x v="29"/>
    <x v="0"/>
    <x v="5"/>
    <x v="0"/>
    <s v="No"/>
    <s v="Y"/>
    <n v="2"/>
    <n v="-2"/>
    <n v="0"/>
    <x v="21"/>
    <n v="0"/>
    <m/>
    <n v="0"/>
    <n v="1"/>
    <n v="705"/>
    <n v="2"/>
    <x v="2"/>
    <n v="1"/>
    <n v="2"/>
    <n v="83"/>
    <n v="3"/>
    <n v="5"/>
    <n v="4"/>
    <n v="18947"/>
    <n v="22822"/>
    <n v="3"/>
    <n v="12"/>
    <n v="3"/>
    <n v="4"/>
    <n v="80"/>
    <n v="0"/>
    <n v="22"/>
    <n v="2"/>
    <n v="2"/>
    <n v="2"/>
    <n v="2"/>
    <n v="1"/>
  </r>
  <r>
    <s v="No"/>
    <s v="Travel_Rarely"/>
    <x v="2"/>
    <s v="Current Employees"/>
    <x v="1"/>
    <x v="2"/>
    <s v="STAFF-39"/>
    <x v="30"/>
    <x v="1"/>
    <x v="2"/>
    <x v="0"/>
    <s v="No"/>
    <s v="Y"/>
    <n v="3"/>
    <n v="-2"/>
    <n v="0"/>
    <x v="3"/>
    <n v="0"/>
    <m/>
    <n v="0"/>
    <n v="1"/>
    <n v="924"/>
    <n v="2"/>
    <x v="3"/>
    <n v="1"/>
    <n v="3"/>
    <n v="78"/>
    <n v="3"/>
    <n v="1"/>
    <n v="4"/>
    <n v="2496"/>
    <n v="6670"/>
    <n v="4"/>
    <n v="11"/>
    <n v="3"/>
    <n v="4"/>
    <n v="80"/>
    <n v="0"/>
    <n v="7"/>
    <n v="3"/>
    <n v="1"/>
    <n v="1"/>
    <n v="0"/>
    <n v="0"/>
  </r>
  <r>
    <s v="No"/>
    <s v="Travel_Rarely"/>
    <x v="0"/>
    <s v="Current Employees"/>
    <x v="1"/>
    <x v="1"/>
    <s v="STAFF-40"/>
    <x v="31"/>
    <x v="1"/>
    <x v="4"/>
    <x v="1"/>
    <s v="Yes"/>
    <s v="Y"/>
    <n v="5"/>
    <n v="-2"/>
    <n v="0"/>
    <x v="20"/>
    <n v="0"/>
    <m/>
    <n v="0"/>
    <n v="1"/>
    <n v="1459"/>
    <n v="10"/>
    <x v="2"/>
    <n v="1"/>
    <n v="4"/>
    <n v="41"/>
    <n v="3"/>
    <n v="2"/>
    <n v="4"/>
    <n v="6465"/>
    <n v="19121"/>
    <n v="2"/>
    <n v="13"/>
    <n v="3"/>
    <n v="4"/>
    <n v="80"/>
    <n v="0"/>
    <n v="9"/>
    <n v="4"/>
    <n v="4"/>
    <n v="2"/>
    <n v="1"/>
    <n v="3"/>
  </r>
  <r>
    <s v="No"/>
    <s v="Travel_Rarely"/>
    <x v="2"/>
    <s v="Current Employees"/>
    <x v="1"/>
    <x v="2"/>
    <s v="STAFF-41"/>
    <x v="32"/>
    <x v="1"/>
    <x v="2"/>
    <x v="0"/>
    <s v="No"/>
    <s v="Y"/>
    <n v="5"/>
    <n v="-2"/>
    <n v="0"/>
    <x v="7"/>
    <n v="0"/>
    <m/>
    <n v="0"/>
    <n v="1"/>
    <n v="125"/>
    <n v="9"/>
    <x v="0"/>
    <n v="1"/>
    <n v="4"/>
    <n v="83"/>
    <n v="2"/>
    <n v="1"/>
    <n v="3"/>
    <n v="2206"/>
    <n v="16117"/>
    <n v="1"/>
    <n v="13"/>
    <n v="3"/>
    <n v="1"/>
    <n v="80"/>
    <n v="0"/>
    <n v="10"/>
    <n v="3"/>
    <n v="10"/>
    <n v="0"/>
    <n v="1"/>
    <n v="8"/>
  </r>
  <r>
    <s v="Yes"/>
    <s v="Travel_Rarely"/>
    <x v="0"/>
    <s v="Ex-Employees"/>
    <x v="0"/>
    <x v="4"/>
    <s v="STAFF-42"/>
    <x v="33"/>
    <x v="1"/>
    <x v="6"/>
    <x v="1"/>
    <s v="No"/>
    <s v="Y"/>
    <n v="6"/>
    <n v="-2"/>
    <n v="0"/>
    <x v="22"/>
    <n v="1"/>
    <n v="1"/>
    <n v="1"/>
    <n v="0"/>
    <n v="895"/>
    <n v="5"/>
    <x v="3"/>
    <n v="1"/>
    <n v="4"/>
    <n v="56"/>
    <n v="3"/>
    <n v="2"/>
    <n v="4"/>
    <n v="2086"/>
    <n v="3335"/>
    <n v="3"/>
    <n v="14"/>
    <n v="3"/>
    <n v="3"/>
    <n v="80"/>
    <n v="1"/>
    <n v="19"/>
    <n v="4"/>
    <n v="1"/>
    <n v="0"/>
    <n v="0"/>
    <n v="0"/>
  </r>
  <r>
    <s v="Yes"/>
    <s v="Travel_Rarely"/>
    <x v="4"/>
    <s v="Ex-Employees"/>
    <x v="1"/>
    <x v="2"/>
    <s v="STAFF-45"/>
    <x v="34"/>
    <x v="1"/>
    <x v="1"/>
    <x v="1"/>
    <s v="Yes"/>
    <s v="Y"/>
    <n v="2"/>
    <n v="-2"/>
    <n v="0"/>
    <x v="17"/>
    <n v="1"/>
    <n v="1"/>
    <n v="1"/>
    <n v="0"/>
    <n v="813"/>
    <n v="1"/>
    <x v="3"/>
    <n v="1"/>
    <n v="2"/>
    <n v="61"/>
    <n v="3"/>
    <n v="1"/>
    <n v="4"/>
    <n v="2293"/>
    <n v="3020"/>
    <n v="2"/>
    <n v="16"/>
    <n v="3"/>
    <n v="1"/>
    <n v="80"/>
    <n v="1"/>
    <n v="6"/>
    <n v="2"/>
    <n v="2"/>
    <n v="0"/>
    <n v="2"/>
    <n v="0"/>
  </r>
  <r>
    <s v="No"/>
    <s v="Travel_Rarely"/>
    <x v="0"/>
    <s v="Current Employees"/>
    <x v="1"/>
    <x v="2"/>
    <s v="STAFF-46"/>
    <x v="35"/>
    <x v="0"/>
    <x v="1"/>
    <x v="2"/>
    <s v="No"/>
    <s v="Y"/>
    <n v="3"/>
    <n v="-2"/>
    <n v="0"/>
    <x v="23"/>
    <n v="0"/>
    <m/>
    <n v="0"/>
    <n v="1"/>
    <n v="1273"/>
    <n v="2"/>
    <x v="0"/>
    <n v="1"/>
    <n v="4"/>
    <n v="72"/>
    <n v="4"/>
    <n v="1"/>
    <n v="3"/>
    <n v="2645"/>
    <n v="21923"/>
    <n v="1"/>
    <n v="12"/>
    <n v="3"/>
    <n v="4"/>
    <n v="80"/>
    <n v="2"/>
    <n v="6"/>
    <n v="2"/>
    <n v="5"/>
    <n v="3"/>
    <n v="1"/>
    <n v="4"/>
  </r>
  <r>
    <s v="Yes"/>
    <s v="Travel_Rarely"/>
    <x v="1"/>
    <s v="Ex-Employees"/>
    <x v="0"/>
    <x v="3"/>
    <s v="STAFF-47"/>
    <x v="36"/>
    <x v="1"/>
    <x v="6"/>
    <x v="1"/>
    <s v="Yes"/>
    <s v="Y"/>
    <n v="2"/>
    <n v="-2"/>
    <n v="0"/>
    <x v="24"/>
    <n v="1"/>
    <n v="1"/>
    <n v="1"/>
    <n v="0"/>
    <n v="869"/>
    <n v="3"/>
    <x v="0"/>
    <n v="1"/>
    <n v="1"/>
    <n v="86"/>
    <n v="2"/>
    <n v="1"/>
    <n v="3"/>
    <n v="2683"/>
    <n v="3810"/>
    <n v="1"/>
    <n v="14"/>
    <n v="3"/>
    <n v="3"/>
    <n v="80"/>
    <n v="0"/>
    <n v="3"/>
    <n v="3"/>
    <n v="3"/>
    <n v="2"/>
    <n v="0"/>
    <n v="2"/>
  </r>
  <r>
    <s v="No"/>
    <s v="Travel_Rarely"/>
    <x v="0"/>
    <s v="Current Employees"/>
    <x v="0"/>
    <x v="3"/>
    <s v="STAFF-49"/>
    <x v="37"/>
    <x v="0"/>
    <x v="6"/>
    <x v="1"/>
    <s v="No"/>
    <s v="Y"/>
    <n v="3"/>
    <n v="-2"/>
    <n v="0"/>
    <x v="10"/>
    <n v="0"/>
    <m/>
    <n v="0"/>
    <n v="1"/>
    <n v="890"/>
    <n v="2"/>
    <x v="3"/>
    <n v="1"/>
    <n v="4"/>
    <n v="97"/>
    <n v="3"/>
    <n v="1"/>
    <n v="4"/>
    <n v="2014"/>
    <n v="9687"/>
    <n v="1"/>
    <n v="13"/>
    <n v="3"/>
    <n v="1"/>
    <n v="80"/>
    <n v="0"/>
    <n v="2"/>
    <n v="3"/>
    <n v="2"/>
    <n v="2"/>
    <n v="2"/>
    <n v="2"/>
  </r>
  <r>
    <s v="No"/>
    <s v="Travel_Rarely"/>
    <x v="0"/>
    <s v="Current Employees"/>
    <x v="1"/>
    <x v="0"/>
    <s v="STAFF-51"/>
    <x v="38"/>
    <x v="0"/>
    <x v="1"/>
    <x v="1"/>
    <s v="Yes"/>
    <s v="Y"/>
    <n v="3"/>
    <n v="-2"/>
    <n v="0"/>
    <x v="9"/>
    <n v="0"/>
    <m/>
    <n v="0"/>
    <n v="1"/>
    <n v="852"/>
    <n v="5"/>
    <x v="2"/>
    <n v="1"/>
    <n v="2"/>
    <n v="82"/>
    <n v="2"/>
    <n v="1"/>
    <n v="2"/>
    <n v="3419"/>
    <n v="13072"/>
    <n v="9"/>
    <n v="14"/>
    <n v="3"/>
    <n v="4"/>
    <n v="80"/>
    <n v="1"/>
    <n v="6"/>
    <n v="4"/>
    <n v="1"/>
    <n v="1"/>
    <n v="0"/>
    <n v="0"/>
  </r>
  <r>
    <s v="No"/>
    <s v="Travel_Frequently"/>
    <x v="2"/>
    <s v="Current Employees"/>
    <x v="0"/>
    <x v="0"/>
    <s v="STAFF-52"/>
    <x v="39"/>
    <x v="0"/>
    <x v="0"/>
    <x v="1"/>
    <s v="No"/>
    <s v="Y"/>
    <n v="3"/>
    <n v="-2"/>
    <n v="0"/>
    <x v="3"/>
    <n v="0"/>
    <m/>
    <n v="0"/>
    <n v="1"/>
    <n v="1141"/>
    <n v="1"/>
    <x v="3"/>
    <n v="1"/>
    <n v="3"/>
    <n v="42"/>
    <n v="4"/>
    <n v="2"/>
    <n v="2"/>
    <n v="5376"/>
    <n v="3193"/>
    <n v="2"/>
    <n v="19"/>
    <n v="3"/>
    <n v="1"/>
    <n v="80"/>
    <n v="2"/>
    <n v="10"/>
    <n v="3"/>
    <n v="5"/>
    <n v="3"/>
    <n v="1"/>
    <n v="3"/>
  </r>
  <r>
    <s v="No"/>
    <s v="Travel_Rarely"/>
    <x v="0"/>
    <s v="Current Employees"/>
    <x v="1"/>
    <x v="1"/>
    <s v="STAFF-53"/>
    <x v="40"/>
    <x v="1"/>
    <x v="2"/>
    <x v="2"/>
    <s v="No"/>
    <s v="Y"/>
    <n v="3"/>
    <n v="-2"/>
    <n v="0"/>
    <x v="10"/>
    <n v="0"/>
    <m/>
    <n v="0"/>
    <n v="1"/>
    <n v="464"/>
    <n v="4"/>
    <x v="0"/>
    <n v="1"/>
    <n v="3"/>
    <n v="75"/>
    <n v="3"/>
    <n v="1"/>
    <n v="4"/>
    <n v="1951"/>
    <n v="10910"/>
    <n v="1"/>
    <n v="12"/>
    <n v="3"/>
    <n v="3"/>
    <n v="80"/>
    <n v="1"/>
    <n v="1"/>
    <n v="3"/>
    <n v="1"/>
    <n v="0"/>
    <n v="0"/>
    <n v="0"/>
  </r>
  <r>
    <s v="No"/>
    <s v="Travel_Rarely"/>
    <x v="2"/>
    <s v="Current Employees"/>
    <x v="1"/>
    <x v="0"/>
    <s v="STAFF-54"/>
    <x v="41"/>
    <x v="0"/>
    <x v="2"/>
    <x v="2"/>
    <s v="No"/>
    <s v="Y"/>
    <n v="6"/>
    <n v="-2"/>
    <n v="0"/>
    <x v="4"/>
    <n v="0"/>
    <m/>
    <n v="0"/>
    <n v="1"/>
    <n v="1240"/>
    <n v="2"/>
    <x v="2"/>
    <n v="1"/>
    <n v="4"/>
    <n v="33"/>
    <n v="3"/>
    <n v="1"/>
    <n v="2"/>
    <n v="2341"/>
    <n v="19715"/>
    <n v="1"/>
    <n v="13"/>
    <n v="3"/>
    <n v="4"/>
    <n v="80"/>
    <n v="1"/>
    <n v="1"/>
    <n v="3"/>
    <n v="1"/>
    <n v="0"/>
    <n v="0"/>
    <n v="0"/>
  </r>
  <r>
    <s v="Yes"/>
    <s v="Travel_Rarely"/>
    <x v="2"/>
    <s v="Ex-Employees"/>
    <x v="1"/>
    <x v="0"/>
    <s v="STAFF-55"/>
    <x v="42"/>
    <x v="1"/>
    <x v="2"/>
    <x v="0"/>
    <s v="No"/>
    <s v="Y"/>
    <n v="2"/>
    <n v="-2"/>
    <n v="0"/>
    <x v="25"/>
    <n v="1"/>
    <n v="1"/>
    <n v="1"/>
    <n v="0"/>
    <n v="1357"/>
    <n v="25"/>
    <x v="3"/>
    <n v="1"/>
    <n v="1"/>
    <n v="48"/>
    <n v="1"/>
    <n v="1"/>
    <n v="2"/>
    <n v="2293"/>
    <n v="10558"/>
    <n v="1"/>
    <n v="12"/>
    <n v="3"/>
    <n v="3"/>
    <n v="80"/>
    <n v="0"/>
    <n v="1"/>
    <n v="2"/>
    <n v="1"/>
    <n v="0"/>
    <n v="0"/>
    <n v="1"/>
  </r>
  <r>
    <s v="No"/>
    <s v="Travel_Frequently"/>
    <x v="2"/>
    <s v="Current Employees"/>
    <x v="0"/>
    <x v="0"/>
    <s v="STAFF-56"/>
    <x v="43"/>
    <x v="1"/>
    <x v="0"/>
    <x v="0"/>
    <s v="No"/>
    <s v="Y"/>
    <n v="0"/>
    <n v="-2"/>
    <n v="0"/>
    <x v="4"/>
    <n v="0"/>
    <m/>
    <n v="0"/>
    <n v="1"/>
    <n v="994"/>
    <n v="8"/>
    <x v="3"/>
    <n v="1"/>
    <n v="4"/>
    <n v="37"/>
    <n v="3"/>
    <n v="3"/>
    <n v="2"/>
    <n v="8726"/>
    <n v="2975"/>
    <n v="1"/>
    <n v="15"/>
    <n v="3"/>
    <n v="4"/>
    <n v="80"/>
    <n v="0"/>
    <n v="9"/>
    <n v="3"/>
    <n v="9"/>
    <n v="8"/>
    <n v="1"/>
    <n v="7"/>
  </r>
  <r>
    <s v="No"/>
    <s v="Travel_Frequently"/>
    <x v="2"/>
    <s v="Current Employees"/>
    <x v="1"/>
    <x v="2"/>
    <s v="STAFF-57"/>
    <x v="44"/>
    <x v="0"/>
    <x v="2"/>
    <x v="0"/>
    <s v="No"/>
    <s v="Y"/>
    <n v="2"/>
    <n v="-2"/>
    <n v="0"/>
    <x v="7"/>
    <n v="0"/>
    <m/>
    <n v="0"/>
    <n v="1"/>
    <n v="721"/>
    <n v="1"/>
    <x v="0"/>
    <n v="1"/>
    <n v="3"/>
    <n v="58"/>
    <n v="3"/>
    <n v="2"/>
    <n v="4"/>
    <n v="4011"/>
    <n v="10781"/>
    <n v="1"/>
    <n v="23"/>
    <n v="4"/>
    <n v="4"/>
    <n v="80"/>
    <n v="0"/>
    <n v="12"/>
    <n v="3"/>
    <n v="12"/>
    <n v="8"/>
    <n v="3"/>
    <n v="7"/>
  </r>
  <r>
    <s v="Yes"/>
    <s v="Travel_Rarely"/>
    <x v="0"/>
    <s v="Ex-Employees"/>
    <x v="1"/>
    <x v="4"/>
    <s v="STAFF-58"/>
    <x v="45"/>
    <x v="0"/>
    <x v="7"/>
    <x v="1"/>
    <s v="No"/>
    <s v="Y"/>
    <n v="0"/>
    <n v="-2"/>
    <n v="0"/>
    <x v="0"/>
    <n v="1"/>
    <n v="1"/>
    <n v="1"/>
    <n v="0"/>
    <n v="1360"/>
    <n v="12"/>
    <x v="3"/>
    <n v="1"/>
    <n v="2"/>
    <n v="49"/>
    <n v="3"/>
    <n v="5"/>
    <n v="3"/>
    <n v="19545"/>
    <n v="16280"/>
    <n v="1"/>
    <n v="12"/>
    <n v="3"/>
    <n v="4"/>
    <n v="80"/>
    <n v="0"/>
    <n v="23"/>
    <n v="3"/>
    <n v="22"/>
    <n v="15"/>
    <n v="15"/>
    <n v="8"/>
  </r>
  <r>
    <s v="No"/>
    <s v="Non-Travel"/>
    <x v="2"/>
    <s v="Current Employees"/>
    <x v="0"/>
    <x v="3"/>
    <s v="STAFF-60"/>
    <x v="46"/>
    <x v="1"/>
    <x v="0"/>
    <x v="0"/>
    <s v="No"/>
    <s v="Y"/>
    <n v="2"/>
    <n v="-2"/>
    <n v="0"/>
    <x v="13"/>
    <n v="0"/>
    <m/>
    <n v="0"/>
    <n v="1"/>
    <n v="1065"/>
    <n v="23"/>
    <x v="2"/>
    <n v="1"/>
    <n v="2"/>
    <n v="72"/>
    <n v="3"/>
    <n v="2"/>
    <n v="3"/>
    <n v="4568"/>
    <n v="10034"/>
    <n v="0"/>
    <n v="20"/>
    <n v="4"/>
    <n v="3"/>
    <n v="80"/>
    <n v="0"/>
    <n v="10"/>
    <n v="3"/>
    <n v="9"/>
    <n v="5"/>
    <n v="8"/>
    <n v="7"/>
  </r>
  <r>
    <s v="No"/>
    <s v="Travel_Rarely"/>
    <x v="0"/>
    <s v="Current Employees"/>
    <x v="1"/>
    <x v="0"/>
    <s v="STAFF-61"/>
    <x v="47"/>
    <x v="1"/>
    <x v="1"/>
    <x v="1"/>
    <s v="No"/>
    <s v="Y"/>
    <n v="1"/>
    <n v="-2"/>
    <n v="0"/>
    <x v="2"/>
    <n v="0"/>
    <m/>
    <n v="0"/>
    <n v="1"/>
    <n v="408"/>
    <n v="19"/>
    <x v="0"/>
    <n v="1"/>
    <n v="2"/>
    <n v="73"/>
    <n v="3"/>
    <n v="1"/>
    <n v="2"/>
    <n v="3022"/>
    <n v="10227"/>
    <n v="4"/>
    <n v="21"/>
    <n v="4"/>
    <n v="1"/>
    <n v="80"/>
    <n v="0"/>
    <n v="8"/>
    <n v="3"/>
    <n v="1"/>
    <n v="0"/>
    <n v="0"/>
    <n v="0"/>
  </r>
  <r>
    <s v="No"/>
    <s v="Travel_Frequently"/>
    <x v="1"/>
    <s v="Current Employees"/>
    <x v="0"/>
    <x v="3"/>
    <s v="STAFF-62"/>
    <x v="48"/>
    <x v="1"/>
    <x v="0"/>
    <x v="0"/>
    <s v="Yes"/>
    <s v="Y"/>
    <n v="4"/>
    <n v="-2"/>
    <n v="0"/>
    <x v="21"/>
    <n v="0"/>
    <m/>
    <n v="0"/>
    <n v="1"/>
    <n v="1211"/>
    <n v="5"/>
    <x v="2"/>
    <n v="1"/>
    <n v="1"/>
    <n v="98"/>
    <n v="3"/>
    <n v="2"/>
    <n v="4"/>
    <n v="5772"/>
    <n v="20445"/>
    <n v="4"/>
    <n v="21"/>
    <n v="4"/>
    <n v="3"/>
    <n v="80"/>
    <n v="0"/>
    <n v="14"/>
    <n v="3"/>
    <n v="9"/>
    <n v="6"/>
    <n v="0"/>
    <n v="8"/>
  </r>
  <r>
    <s v="No"/>
    <s v="Travel_Rarely"/>
    <x v="0"/>
    <s v="Current Employees"/>
    <x v="1"/>
    <x v="0"/>
    <s v="STAFF-63"/>
    <x v="49"/>
    <x v="1"/>
    <x v="2"/>
    <x v="1"/>
    <s v="No"/>
    <s v="Y"/>
    <n v="2"/>
    <n v="-2"/>
    <n v="0"/>
    <x v="10"/>
    <n v="0"/>
    <m/>
    <n v="0"/>
    <n v="1"/>
    <n v="1229"/>
    <n v="8"/>
    <x v="1"/>
    <n v="1"/>
    <n v="4"/>
    <n v="36"/>
    <n v="4"/>
    <n v="1"/>
    <n v="2"/>
    <n v="2269"/>
    <n v="4892"/>
    <n v="1"/>
    <n v="19"/>
    <n v="3"/>
    <n v="4"/>
    <n v="80"/>
    <n v="0"/>
    <n v="1"/>
    <n v="3"/>
    <n v="1"/>
    <n v="0"/>
    <n v="0"/>
    <n v="1"/>
  </r>
  <r>
    <s v="Yes"/>
    <s v="Travel_Rarely"/>
    <x v="1"/>
    <s v="Ex-Employees"/>
    <x v="1"/>
    <x v="0"/>
    <s v="STAFF-64"/>
    <x v="50"/>
    <x v="1"/>
    <x v="2"/>
    <x v="0"/>
    <s v="Yes"/>
    <s v="Y"/>
    <n v="2"/>
    <n v="-2"/>
    <n v="0"/>
    <x v="26"/>
    <n v="1"/>
    <n v="1"/>
    <n v="1"/>
    <n v="0"/>
    <n v="626"/>
    <n v="1"/>
    <x v="0"/>
    <n v="1"/>
    <n v="1"/>
    <n v="98"/>
    <n v="2"/>
    <n v="3"/>
    <n v="2"/>
    <n v="5381"/>
    <n v="19294"/>
    <n v="9"/>
    <n v="13"/>
    <n v="3"/>
    <n v="4"/>
    <n v="80"/>
    <n v="0"/>
    <n v="23"/>
    <n v="3"/>
    <n v="1"/>
    <n v="0"/>
    <n v="0"/>
    <n v="0"/>
  </r>
  <r>
    <s v="Yes"/>
    <s v="Travel_Rarely"/>
    <x v="2"/>
    <s v="Ex-Employees"/>
    <x v="1"/>
    <x v="4"/>
    <s v="STAFF-65"/>
    <x v="51"/>
    <x v="1"/>
    <x v="2"/>
    <x v="0"/>
    <s v="Yes"/>
    <s v="Y"/>
    <n v="3"/>
    <n v="-2"/>
    <n v="0"/>
    <x v="14"/>
    <n v="1"/>
    <n v="1"/>
    <n v="1"/>
    <n v="0"/>
    <n v="1434"/>
    <n v="5"/>
    <x v="2"/>
    <n v="1"/>
    <n v="3"/>
    <n v="50"/>
    <n v="3"/>
    <n v="1"/>
    <n v="3"/>
    <n v="3441"/>
    <n v="11179"/>
    <n v="1"/>
    <n v="13"/>
    <n v="3"/>
    <n v="3"/>
    <n v="80"/>
    <n v="0"/>
    <n v="2"/>
    <n v="2"/>
    <n v="2"/>
    <n v="2"/>
    <n v="2"/>
    <n v="2"/>
  </r>
  <r>
    <s v="No"/>
    <s v="Travel_Rarely"/>
    <x v="0"/>
    <s v="Current Employees"/>
    <x v="0"/>
    <x v="3"/>
    <s v="STAFF-68"/>
    <x v="52"/>
    <x v="0"/>
    <x v="0"/>
    <x v="2"/>
    <s v="Yes"/>
    <s v="Y"/>
    <n v="2"/>
    <n v="-2"/>
    <n v="0"/>
    <x v="20"/>
    <n v="0"/>
    <m/>
    <n v="0"/>
    <n v="1"/>
    <n v="1488"/>
    <n v="1"/>
    <x v="4"/>
    <n v="1"/>
    <n v="2"/>
    <n v="75"/>
    <n v="3"/>
    <n v="2"/>
    <n v="4"/>
    <n v="5454"/>
    <n v="4009"/>
    <n v="5"/>
    <n v="21"/>
    <n v="4"/>
    <n v="3"/>
    <n v="80"/>
    <n v="1"/>
    <n v="9"/>
    <n v="2"/>
    <n v="4"/>
    <n v="3"/>
    <n v="1"/>
    <n v="3"/>
  </r>
  <r>
    <s v="No"/>
    <s v="Non-Travel"/>
    <x v="0"/>
    <s v="Current Employees"/>
    <x v="1"/>
    <x v="2"/>
    <s v="STAFF-70"/>
    <x v="53"/>
    <x v="1"/>
    <x v="4"/>
    <x v="1"/>
    <s v="Yes"/>
    <s v="Y"/>
    <n v="3"/>
    <n v="-2"/>
    <n v="0"/>
    <x v="10"/>
    <n v="0"/>
    <m/>
    <n v="0"/>
    <n v="1"/>
    <n v="1097"/>
    <n v="11"/>
    <x v="0"/>
    <n v="1"/>
    <n v="3"/>
    <n v="79"/>
    <n v="2"/>
    <n v="3"/>
    <n v="4"/>
    <n v="9884"/>
    <n v="8302"/>
    <n v="2"/>
    <n v="13"/>
    <n v="3"/>
    <n v="3"/>
    <n v="80"/>
    <n v="1"/>
    <n v="10"/>
    <n v="3"/>
    <n v="4"/>
    <n v="0"/>
    <n v="2"/>
    <n v="3"/>
  </r>
  <r>
    <s v="No"/>
    <s v="Travel_Rarely"/>
    <x v="2"/>
    <s v="Current Employees"/>
    <x v="0"/>
    <x v="3"/>
    <s v="STAFF-72"/>
    <x v="54"/>
    <x v="0"/>
    <x v="0"/>
    <x v="1"/>
    <s v="Yes"/>
    <s v="Y"/>
    <n v="2"/>
    <n v="-2"/>
    <n v="0"/>
    <x v="25"/>
    <n v="0"/>
    <m/>
    <n v="0"/>
    <n v="1"/>
    <n v="1443"/>
    <n v="23"/>
    <x v="3"/>
    <n v="1"/>
    <n v="3"/>
    <n v="47"/>
    <n v="2"/>
    <n v="2"/>
    <n v="4"/>
    <n v="4157"/>
    <n v="21436"/>
    <n v="7"/>
    <n v="19"/>
    <n v="3"/>
    <n v="3"/>
    <n v="80"/>
    <n v="1"/>
    <n v="5"/>
    <n v="2"/>
    <n v="2"/>
    <n v="2"/>
    <n v="0"/>
    <n v="0"/>
  </r>
  <r>
    <s v="No"/>
    <s v="Travel_Frequently"/>
    <x v="2"/>
    <s v="Current Employees"/>
    <x v="1"/>
    <x v="0"/>
    <s v="STAFF-73"/>
    <x v="55"/>
    <x v="0"/>
    <x v="7"/>
    <x v="0"/>
    <s v="Yes"/>
    <s v="Y"/>
    <n v="1"/>
    <n v="-2"/>
    <n v="0"/>
    <x v="3"/>
    <n v="0"/>
    <m/>
    <n v="0"/>
    <n v="1"/>
    <n v="515"/>
    <n v="1"/>
    <x v="0"/>
    <n v="1"/>
    <n v="1"/>
    <n v="98"/>
    <n v="3"/>
    <n v="3"/>
    <n v="2"/>
    <n v="13458"/>
    <n v="15146"/>
    <n v="1"/>
    <n v="12"/>
    <n v="3"/>
    <n v="3"/>
    <n v="80"/>
    <n v="0"/>
    <n v="15"/>
    <n v="3"/>
    <n v="15"/>
    <n v="14"/>
    <n v="8"/>
    <n v="12"/>
  </r>
  <r>
    <s v="No"/>
    <s v="Travel_Frequently"/>
    <x v="0"/>
    <s v="Current Employees"/>
    <x v="0"/>
    <x v="0"/>
    <s v="STAFF-74"/>
    <x v="56"/>
    <x v="1"/>
    <x v="0"/>
    <x v="1"/>
    <s v="No"/>
    <s v="Y"/>
    <n v="3"/>
    <n v="-2"/>
    <n v="0"/>
    <x v="10"/>
    <n v="0"/>
    <m/>
    <n v="0"/>
    <n v="1"/>
    <n v="853"/>
    <n v="18"/>
    <x v="4"/>
    <n v="1"/>
    <n v="2"/>
    <n v="71"/>
    <n v="3"/>
    <n v="3"/>
    <n v="2"/>
    <n v="9069"/>
    <n v="11031"/>
    <n v="1"/>
    <n v="22"/>
    <n v="4"/>
    <n v="4"/>
    <n v="80"/>
    <n v="1"/>
    <n v="9"/>
    <n v="2"/>
    <n v="9"/>
    <n v="8"/>
    <n v="1"/>
    <n v="8"/>
  </r>
  <r>
    <s v="No"/>
    <s v="Travel_Rarely"/>
    <x v="0"/>
    <s v="Current Employees"/>
    <x v="1"/>
    <x v="2"/>
    <s v="STAFF-75"/>
    <x v="57"/>
    <x v="0"/>
    <x v="2"/>
    <x v="1"/>
    <s v="Yes"/>
    <s v="Y"/>
    <n v="3"/>
    <n v="-2"/>
    <n v="0"/>
    <x v="10"/>
    <n v="0"/>
    <m/>
    <n v="0"/>
    <n v="1"/>
    <n v="1142"/>
    <n v="23"/>
    <x v="2"/>
    <n v="1"/>
    <n v="3"/>
    <n v="30"/>
    <n v="3"/>
    <n v="1"/>
    <n v="4"/>
    <n v="4014"/>
    <n v="16002"/>
    <n v="3"/>
    <n v="15"/>
    <n v="3"/>
    <n v="3"/>
    <n v="80"/>
    <n v="1"/>
    <n v="4"/>
    <n v="3"/>
    <n v="2"/>
    <n v="2"/>
    <n v="2"/>
    <n v="2"/>
  </r>
  <r>
    <s v="No"/>
    <s v="Travel_Rarely"/>
    <x v="2"/>
    <s v="Current Employees"/>
    <x v="1"/>
    <x v="0"/>
    <s v="STAFF-76"/>
    <x v="58"/>
    <x v="1"/>
    <x v="2"/>
    <x v="2"/>
    <s v="No"/>
    <s v="Y"/>
    <n v="3"/>
    <n v="-2"/>
    <n v="0"/>
    <x v="12"/>
    <n v="0"/>
    <m/>
    <n v="0"/>
    <n v="1"/>
    <n v="655"/>
    <n v="7"/>
    <x v="2"/>
    <n v="1"/>
    <n v="4"/>
    <n v="48"/>
    <n v="3"/>
    <n v="2"/>
    <n v="2"/>
    <n v="5915"/>
    <n v="9528"/>
    <n v="3"/>
    <n v="22"/>
    <n v="4"/>
    <n v="4"/>
    <n v="80"/>
    <n v="1"/>
    <n v="10"/>
    <n v="2"/>
    <n v="7"/>
    <n v="7"/>
    <n v="1"/>
    <n v="7"/>
  </r>
  <r>
    <s v="No"/>
    <s v="Travel_Rarely"/>
    <x v="0"/>
    <s v="Current Employees"/>
    <x v="1"/>
    <x v="0"/>
    <s v="STAFF-77"/>
    <x v="59"/>
    <x v="1"/>
    <x v="3"/>
    <x v="2"/>
    <s v="No"/>
    <s v="Y"/>
    <n v="2"/>
    <n v="-2"/>
    <n v="0"/>
    <x v="2"/>
    <n v="0"/>
    <m/>
    <n v="0"/>
    <n v="1"/>
    <n v="1115"/>
    <n v="1"/>
    <x v="2"/>
    <n v="1"/>
    <n v="1"/>
    <n v="51"/>
    <n v="2"/>
    <n v="2"/>
    <n v="2"/>
    <n v="5993"/>
    <n v="2689"/>
    <n v="1"/>
    <n v="18"/>
    <n v="3"/>
    <n v="3"/>
    <n v="80"/>
    <n v="1"/>
    <n v="7"/>
    <n v="4"/>
    <n v="7"/>
    <n v="5"/>
    <n v="0"/>
    <n v="7"/>
  </r>
  <r>
    <s v="No"/>
    <s v="Travel_Rarely"/>
    <x v="2"/>
    <s v="Current Employees"/>
    <x v="1"/>
    <x v="2"/>
    <s v="STAFF-78"/>
    <x v="60"/>
    <x v="1"/>
    <x v="3"/>
    <x v="1"/>
    <s v="Yes"/>
    <s v="Y"/>
    <n v="3"/>
    <n v="-2"/>
    <n v="0"/>
    <x v="5"/>
    <n v="0"/>
    <m/>
    <n v="0"/>
    <n v="1"/>
    <n v="427"/>
    <n v="1"/>
    <x v="3"/>
    <n v="1"/>
    <n v="1"/>
    <n v="33"/>
    <n v="3"/>
    <n v="2"/>
    <n v="4"/>
    <n v="6162"/>
    <n v="10877"/>
    <n v="1"/>
    <n v="22"/>
    <n v="4"/>
    <n v="2"/>
    <n v="80"/>
    <n v="1"/>
    <n v="9"/>
    <n v="3"/>
    <n v="9"/>
    <n v="8"/>
    <n v="7"/>
    <n v="8"/>
  </r>
  <r>
    <s v="No"/>
    <s v="Travel_Frequently"/>
    <x v="0"/>
    <s v="Current Employees"/>
    <x v="1"/>
    <x v="0"/>
    <s v="STAFF-79"/>
    <x v="61"/>
    <x v="0"/>
    <x v="2"/>
    <x v="0"/>
    <s v="No"/>
    <s v="Y"/>
    <n v="2"/>
    <n v="-2"/>
    <n v="0"/>
    <x v="8"/>
    <n v="0"/>
    <m/>
    <n v="0"/>
    <n v="1"/>
    <n v="653"/>
    <n v="29"/>
    <x v="4"/>
    <n v="1"/>
    <n v="4"/>
    <n v="50"/>
    <n v="3"/>
    <n v="2"/>
    <n v="2"/>
    <n v="2406"/>
    <n v="5456"/>
    <n v="1"/>
    <n v="11"/>
    <n v="3"/>
    <n v="4"/>
    <n v="80"/>
    <n v="0"/>
    <n v="10"/>
    <n v="3"/>
    <n v="10"/>
    <n v="3"/>
    <n v="9"/>
    <n v="9"/>
  </r>
  <r>
    <s v="No"/>
    <s v="Travel_Rarely"/>
    <x v="1"/>
    <s v="Current Employees"/>
    <x v="1"/>
    <x v="2"/>
    <s v="STAFF-80"/>
    <x v="62"/>
    <x v="0"/>
    <x v="7"/>
    <x v="2"/>
    <s v="Yes"/>
    <s v="Y"/>
    <n v="2"/>
    <n v="-2"/>
    <n v="0"/>
    <x v="24"/>
    <n v="0"/>
    <m/>
    <n v="0"/>
    <n v="1"/>
    <n v="989"/>
    <n v="7"/>
    <x v="0"/>
    <n v="1"/>
    <n v="2"/>
    <n v="43"/>
    <n v="2"/>
    <n v="5"/>
    <n v="3"/>
    <n v="18740"/>
    <n v="16701"/>
    <n v="5"/>
    <n v="12"/>
    <n v="3"/>
    <n v="4"/>
    <n v="80"/>
    <n v="1"/>
    <n v="29"/>
    <n v="2"/>
    <n v="27"/>
    <n v="3"/>
    <n v="13"/>
    <n v="8"/>
  </r>
  <r>
    <s v="No"/>
    <s v="Travel_Rarely"/>
    <x v="3"/>
    <s v="Current Employees"/>
    <x v="0"/>
    <x v="0"/>
    <s v="STAFF-81"/>
    <x v="63"/>
    <x v="0"/>
    <x v="0"/>
    <x v="0"/>
    <s v="No"/>
    <s v="Y"/>
    <n v="3"/>
    <n v="-2"/>
    <n v="0"/>
    <x v="6"/>
    <n v="0"/>
    <m/>
    <n v="0"/>
    <n v="1"/>
    <n v="1435"/>
    <n v="25"/>
    <x v="3"/>
    <n v="1"/>
    <n v="1"/>
    <n v="99"/>
    <n v="3"/>
    <n v="3"/>
    <n v="2"/>
    <n v="7637"/>
    <n v="2354"/>
    <n v="7"/>
    <n v="11"/>
    <n v="3"/>
    <n v="4"/>
    <n v="80"/>
    <n v="0"/>
    <n v="28"/>
    <n v="2"/>
    <n v="21"/>
    <n v="16"/>
    <n v="7"/>
    <n v="9"/>
  </r>
  <r>
    <s v="No"/>
    <s v="Travel_Rarely"/>
    <x v="0"/>
    <s v="Current Employees"/>
    <x v="1"/>
    <x v="4"/>
    <s v="STAFF-83"/>
    <x v="64"/>
    <x v="0"/>
    <x v="4"/>
    <x v="2"/>
    <s v="No"/>
    <s v="Y"/>
    <n v="2"/>
    <n v="-2"/>
    <n v="0"/>
    <x v="9"/>
    <n v="0"/>
    <m/>
    <n v="0"/>
    <n v="1"/>
    <n v="1223"/>
    <n v="8"/>
    <x v="3"/>
    <n v="1"/>
    <n v="3"/>
    <n v="59"/>
    <n v="3"/>
    <n v="3"/>
    <n v="3"/>
    <n v="10096"/>
    <n v="8202"/>
    <n v="1"/>
    <n v="13"/>
    <n v="3"/>
    <n v="2"/>
    <n v="80"/>
    <n v="3"/>
    <n v="17"/>
    <n v="3"/>
    <n v="17"/>
    <n v="14"/>
    <n v="12"/>
    <n v="8"/>
  </r>
  <r>
    <s v="No"/>
    <s v="Travel_Rarely"/>
    <x v="3"/>
    <s v="Current Employees"/>
    <x v="1"/>
    <x v="2"/>
    <s v="STAFF-84"/>
    <x v="65"/>
    <x v="0"/>
    <x v="5"/>
    <x v="2"/>
    <s v="Yes"/>
    <s v="Y"/>
    <n v="2"/>
    <n v="-2"/>
    <n v="0"/>
    <x v="27"/>
    <n v="0"/>
    <m/>
    <n v="0"/>
    <n v="1"/>
    <n v="836"/>
    <n v="8"/>
    <x v="3"/>
    <n v="1"/>
    <n v="4"/>
    <n v="33"/>
    <n v="3"/>
    <n v="4"/>
    <n v="3"/>
    <n v="14756"/>
    <n v="19730"/>
    <n v="2"/>
    <n v="14"/>
    <n v="3"/>
    <n v="3"/>
    <n v="80"/>
    <n v="3"/>
    <n v="21"/>
    <n v="3"/>
    <n v="5"/>
    <n v="0"/>
    <n v="0"/>
    <n v="2"/>
  </r>
  <r>
    <s v="No"/>
    <s v="Travel_Frequently"/>
    <x v="0"/>
    <s v="Current Employees"/>
    <x v="1"/>
    <x v="0"/>
    <s v="STAFF-85"/>
    <x v="66"/>
    <x v="1"/>
    <x v="3"/>
    <x v="0"/>
    <s v="No"/>
    <s v="Y"/>
    <n v="3"/>
    <n v="-2"/>
    <n v="0"/>
    <x v="9"/>
    <n v="0"/>
    <m/>
    <n v="0"/>
    <n v="1"/>
    <n v="1195"/>
    <n v="11"/>
    <x v="3"/>
    <n v="1"/>
    <n v="2"/>
    <n v="95"/>
    <n v="2"/>
    <n v="2"/>
    <n v="2"/>
    <n v="6499"/>
    <n v="22656"/>
    <n v="1"/>
    <n v="13"/>
    <n v="3"/>
    <n v="3"/>
    <n v="80"/>
    <n v="0"/>
    <n v="6"/>
    <n v="3"/>
    <n v="6"/>
    <n v="5"/>
    <n v="0"/>
    <n v="3"/>
  </r>
  <r>
    <s v="No"/>
    <s v="Travel_Rarely"/>
    <x v="1"/>
    <s v="Current Employees"/>
    <x v="1"/>
    <x v="0"/>
    <s v="STAFF-86"/>
    <x v="67"/>
    <x v="1"/>
    <x v="1"/>
    <x v="2"/>
    <s v="No"/>
    <s v="Y"/>
    <n v="2"/>
    <n v="-2"/>
    <n v="0"/>
    <x v="28"/>
    <n v="0"/>
    <m/>
    <n v="0"/>
    <n v="1"/>
    <n v="1339"/>
    <n v="7"/>
    <x v="3"/>
    <n v="1"/>
    <n v="2"/>
    <n v="59"/>
    <n v="3"/>
    <n v="3"/>
    <n v="2"/>
    <n v="9724"/>
    <n v="18787"/>
    <n v="2"/>
    <n v="17"/>
    <n v="3"/>
    <n v="3"/>
    <n v="80"/>
    <n v="1"/>
    <n v="25"/>
    <n v="3"/>
    <n v="1"/>
    <n v="0"/>
    <n v="0"/>
    <n v="0"/>
  </r>
  <r>
    <s v="No"/>
    <s v="Travel_Frequently"/>
    <x v="0"/>
    <s v="Current Employees"/>
    <x v="1"/>
    <x v="2"/>
    <s v="STAFF-88"/>
    <x v="68"/>
    <x v="1"/>
    <x v="1"/>
    <x v="1"/>
    <s v="No"/>
    <s v="Y"/>
    <n v="2"/>
    <n v="-2"/>
    <n v="0"/>
    <x v="10"/>
    <n v="0"/>
    <m/>
    <n v="0"/>
    <n v="1"/>
    <n v="664"/>
    <n v="1"/>
    <x v="3"/>
    <n v="1"/>
    <n v="2"/>
    <n v="79"/>
    <n v="3"/>
    <n v="1"/>
    <n v="4"/>
    <n v="2194"/>
    <n v="5868"/>
    <n v="4"/>
    <n v="13"/>
    <n v="3"/>
    <n v="4"/>
    <n v="80"/>
    <n v="1"/>
    <n v="5"/>
    <n v="2"/>
    <n v="3"/>
    <n v="2"/>
    <n v="1"/>
    <n v="2"/>
  </r>
  <r>
    <s v="Yes"/>
    <s v="Travel_Rarely"/>
    <x v="0"/>
    <s v="Ex-Employees"/>
    <x v="1"/>
    <x v="2"/>
    <s v="STAFF-90"/>
    <x v="69"/>
    <x v="1"/>
    <x v="1"/>
    <x v="1"/>
    <s v="Yes"/>
    <s v="Y"/>
    <n v="0"/>
    <n v="-2"/>
    <n v="0"/>
    <x v="9"/>
    <n v="1"/>
    <n v="1"/>
    <n v="1"/>
    <n v="0"/>
    <n v="318"/>
    <n v="9"/>
    <x v="3"/>
    <n v="1"/>
    <n v="4"/>
    <n v="79"/>
    <n v="2"/>
    <n v="1"/>
    <n v="3"/>
    <n v="3388"/>
    <n v="21777"/>
    <n v="0"/>
    <n v="17"/>
    <n v="3"/>
    <n v="1"/>
    <n v="80"/>
    <n v="1"/>
    <n v="2"/>
    <n v="2"/>
    <n v="1"/>
    <n v="0"/>
    <n v="0"/>
    <n v="0"/>
  </r>
  <r>
    <s v="No"/>
    <s v="Travel_Frequently"/>
    <x v="3"/>
    <s v="Current Employees"/>
    <x v="0"/>
    <x v="0"/>
    <s v="STAFF-91"/>
    <x v="70"/>
    <x v="0"/>
    <x v="0"/>
    <x v="0"/>
    <s v="No"/>
    <s v="Y"/>
    <n v="2"/>
    <n v="-2"/>
    <n v="0"/>
    <x v="6"/>
    <n v="0"/>
    <m/>
    <n v="0"/>
    <n v="1"/>
    <n v="1225"/>
    <n v="1"/>
    <x v="1"/>
    <n v="1"/>
    <n v="1"/>
    <n v="57"/>
    <n v="2"/>
    <n v="2"/>
    <n v="2"/>
    <n v="5473"/>
    <n v="24668"/>
    <n v="7"/>
    <n v="11"/>
    <n v="3"/>
    <n v="4"/>
    <n v="80"/>
    <n v="0"/>
    <n v="20"/>
    <n v="2"/>
    <n v="4"/>
    <n v="3"/>
    <n v="1"/>
    <n v="3"/>
  </r>
  <r>
    <s v="No"/>
    <s v="Travel_Rarely"/>
    <x v="2"/>
    <s v="Current Employees"/>
    <x v="1"/>
    <x v="0"/>
    <s v="STAFF-94"/>
    <x v="71"/>
    <x v="1"/>
    <x v="1"/>
    <x v="1"/>
    <s v="No"/>
    <s v="Y"/>
    <n v="3"/>
    <n v="-2"/>
    <n v="0"/>
    <x v="11"/>
    <n v="0"/>
    <m/>
    <n v="0"/>
    <n v="1"/>
    <n v="1328"/>
    <n v="2"/>
    <x v="3"/>
    <n v="1"/>
    <n v="3"/>
    <n v="76"/>
    <n v="3"/>
    <n v="1"/>
    <n v="2"/>
    <n v="2703"/>
    <n v="4956"/>
    <n v="0"/>
    <n v="23"/>
    <n v="4"/>
    <n v="4"/>
    <n v="80"/>
    <n v="1"/>
    <n v="6"/>
    <n v="3"/>
    <n v="5"/>
    <n v="4"/>
    <n v="0"/>
    <n v="4"/>
  </r>
  <r>
    <s v="No"/>
    <s v="Travel_Rarely"/>
    <x v="2"/>
    <s v="Current Employees"/>
    <x v="1"/>
    <x v="2"/>
    <s v="STAFF-95"/>
    <x v="72"/>
    <x v="1"/>
    <x v="1"/>
    <x v="0"/>
    <s v="No"/>
    <s v="Y"/>
    <n v="4"/>
    <n v="-2"/>
    <n v="0"/>
    <x v="12"/>
    <n v="0"/>
    <m/>
    <n v="0"/>
    <n v="1"/>
    <n v="1082"/>
    <n v="1"/>
    <x v="2"/>
    <n v="1"/>
    <n v="3"/>
    <n v="87"/>
    <n v="3"/>
    <n v="1"/>
    <n v="3"/>
    <n v="2501"/>
    <n v="18775"/>
    <n v="1"/>
    <n v="17"/>
    <n v="3"/>
    <n v="2"/>
    <n v="80"/>
    <n v="0"/>
    <n v="1"/>
    <n v="3"/>
    <n v="1"/>
    <n v="1"/>
    <n v="1"/>
    <n v="0"/>
  </r>
  <r>
    <s v="No"/>
    <s v="Travel_Rarely"/>
    <x v="2"/>
    <s v="Current Employees"/>
    <x v="1"/>
    <x v="0"/>
    <s v="STAFF-96"/>
    <x v="73"/>
    <x v="1"/>
    <x v="1"/>
    <x v="1"/>
    <s v="No"/>
    <s v="Y"/>
    <n v="3"/>
    <n v="-2"/>
    <n v="0"/>
    <x v="5"/>
    <n v="0"/>
    <m/>
    <n v="0"/>
    <n v="1"/>
    <n v="548"/>
    <n v="1"/>
    <x v="3"/>
    <n v="1"/>
    <n v="2"/>
    <n v="66"/>
    <n v="3"/>
    <n v="2"/>
    <n v="2"/>
    <n v="6220"/>
    <n v="7346"/>
    <n v="1"/>
    <n v="17"/>
    <n v="3"/>
    <n v="2"/>
    <n v="80"/>
    <n v="2"/>
    <n v="10"/>
    <n v="3"/>
    <n v="10"/>
    <n v="4"/>
    <n v="0"/>
    <n v="9"/>
  </r>
  <r>
    <s v="No"/>
    <s v="Travel_Rarely"/>
    <x v="0"/>
    <s v="Current Employees"/>
    <x v="1"/>
    <x v="0"/>
    <s v="STAFF-97"/>
    <x v="74"/>
    <x v="0"/>
    <x v="2"/>
    <x v="1"/>
    <s v="No"/>
    <s v="Y"/>
    <n v="3"/>
    <n v="-2"/>
    <n v="0"/>
    <x v="9"/>
    <n v="0"/>
    <m/>
    <n v="0"/>
    <n v="1"/>
    <n v="132"/>
    <n v="6"/>
    <x v="3"/>
    <n v="1"/>
    <n v="2"/>
    <n v="55"/>
    <n v="4"/>
    <n v="1"/>
    <n v="2"/>
    <n v="3038"/>
    <n v="22002"/>
    <n v="3"/>
    <n v="12"/>
    <n v="3"/>
    <n v="2"/>
    <n v="80"/>
    <n v="0"/>
    <n v="5"/>
    <n v="3"/>
    <n v="1"/>
    <n v="0"/>
    <n v="0"/>
    <n v="0"/>
  </r>
  <r>
    <s v="No"/>
    <s v="Travel_Rarely"/>
    <x v="2"/>
    <s v="Current Employees"/>
    <x v="1"/>
    <x v="0"/>
    <s v="STAFF-98"/>
    <x v="75"/>
    <x v="0"/>
    <x v="3"/>
    <x v="0"/>
    <s v="No"/>
    <s v="Y"/>
    <n v="2"/>
    <n v="-2"/>
    <n v="0"/>
    <x v="12"/>
    <n v="0"/>
    <m/>
    <n v="0"/>
    <n v="1"/>
    <n v="746"/>
    <n v="8"/>
    <x v="2"/>
    <n v="1"/>
    <n v="3"/>
    <n v="61"/>
    <n v="3"/>
    <n v="2"/>
    <n v="2"/>
    <n v="4424"/>
    <n v="20682"/>
    <n v="1"/>
    <n v="23"/>
    <n v="4"/>
    <n v="4"/>
    <n v="80"/>
    <n v="0"/>
    <n v="11"/>
    <n v="3"/>
    <n v="11"/>
    <n v="7"/>
    <n v="1"/>
    <n v="8"/>
  </r>
  <r>
    <s v="No"/>
    <s v="Travel_Rarely"/>
    <x v="0"/>
    <s v="Current Employees"/>
    <x v="0"/>
    <x v="3"/>
    <s v="STAFF-100"/>
    <x v="76"/>
    <x v="1"/>
    <x v="0"/>
    <x v="0"/>
    <s v="No"/>
    <s v="Y"/>
    <n v="2"/>
    <n v="-2"/>
    <n v="0"/>
    <x v="10"/>
    <n v="0"/>
    <m/>
    <n v="0"/>
    <n v="1"/>
    <n v="776"/>
    <n v="1"/>
    <x v="2"/>
    <n v="1"/>
    <n v="3"/>
    <n v="32"/>
    <n v="2"/>
    <n v="2"/>
    <n v="4"/>
    <n v="4312"/>
    <n v="23016"/>
    <n v="0"/>
    <n v="14"/>
    <n v="3"/>
    <n v="2"/>
    <n v="80"/>
    <n v="0"/>
    <n v="16"/>
    <n v="3"/>
    <n v="15"/>
    <n v="13"/>
    <n v="2"/>
    <n v="8"/>
  </r>
  <r>
    <s v="No"/>
    <s v="Travel_Rarely"/>
    <x v="1"/>
    <s v="Current Employees"/>
    <x v="1"/>
    <x v="1"/>
    <s v="STAFF-101"/>
    <x v="77"/>
    <x v="1"/>
    <x v="7"/>
    <x v="1"/>
    <s v="Yes"/>
    <s v="Y"/>
    <n v="3"/>
    <n v="-2"/>
    <n v="0"/>
    <x v="28"/>
    <n v="0"/>
    <m/>
    <n v="0"/>
    <n v="1"/>
    <n v="193"/>
    <n v="6"/>
    <x v="2"/>
    <n v="1"/>
    <n v="4"/>
    <n v="52"/>
    <n v="3"/>
    <n v="3"/>
    <n v="4"/>
    <n v="13245"/>
    <n v="15067"/>
    <n v="4"/>
    <n v="14"/>
    <n v="3"/>
    <n v="2"/>
    <n v="80"/>
    <n v="0"/>
    <n v="17"/>
    <n v="4"/>
    <n v="0"/>
    <n v="0"/>
    <n v="0"/>
    <n v="0"/>
  </r>
  <r>
    <s v="No"/>
    <s v="Travel_Rarely"/>
    <x v="0"/>
    <s v="Current Employees"/>
    <x v="1"/>
    <x v="2"/>
    <s v="STAFF-102"/>
    <x v="78"/>
    <x v="1"/>
    <x v="7"/>
    <x v="0"/>
    <s v="No"/>
    <s v="Y"/>
    <n v="3"/>
    <n v="-2"/>
    <n v="0"/>
    <x v="2"/>
    <n v="0"/>
    <m/>
    <n v="0"/>
    <n v="1"/>
    <n v="397"/>
    <n v="7"/>
    <x v="2"/>
    <n v="1"/>
    <n v="1"/>
    <n v="30"/>
    <n v="3"/>
    <n v="3"/>
    <n v="3"/>
    <n v="13664"/>
    <n v="25258"/>
    <n v="4"/>
    <n v="13"/>
    <n v="3"/>
    <n v="1"/>
    <n v="80"/>
    <n v="0"/>
    <n v="16"/>
    <n v="4"/>
    <n v="5"/>
    <n v="2"/>
    <n v="0"/>
    <n v="2"/>
  </r>
  <r>
    <s v="No"/>
    <s v="Travel_Rarely"/>
    <x v="1"/>
    <s v="Current Employees"/>
    <x v="2"/>
    <x v="2"/>
    <s v="STAFF-103"/>
    <x v="79"/>
    <x v="1"/>
    <x v="8"/>
    <x v="2"/>
    <s v="Yes"/>
    <s v="Y"/>
    <n v="2"/>
    <n v="-2"/>
    <n v="0"/>
    <x v="21"/>
    <n v="0"/>
    <m/>
    <n v="0"/>
    <n v="1"/>
    <n v="945"/>
    <n v="5"/>
    <x v="0"/>
    <n v="1"/>
    <n v="2"/>
    <n v="80"/>
    <n v="3"/>
    <n v="2"/>
    <n v="3"/>
    <n v="5021"/>
    <n v="10425"/>
    <n v="8"/>
    <n v="22"/>
    <n v="4"/>
    <n v="4"/>
    <n v="80"/>
    <n v="1"/>
    <n v="16"/>
    <n v="3"/>
    <n v="4"/>
    <n v="2"/>
    <n v="0"/>
    <n v="2"/>
  </r>
  <r>
    <s v="No"/>
    <s v="Travel_Rarely"/>
    <x v="2"/>
    <s v="Current Employees"/>
    <x v="1"/>
    <x v="0"/>
    <s v="STAFF-104"/>
    <x v="80"/>
    <x v="1"/>
    <x v="2"/>
    <x v="1"/>
    <s v="Yes"/>
    <s v="Y"/>
    <n v="1"/>
    <n v="-2"/>
    <n v="0"/>
    <x v="7"/>
    <n v="0"/>
    <m/>
    <n v="0"/>
    <n v="1"/>
    <n v="852"/>
    <n v="1"/>
    <x v="1"/>
    <n v="1"/>
    <n v="4"/>
    <n v="55"/>
    <n v="2"/>
    <n v="2"/>
    <n v="2"/>
    <n v="5126"/>
    <n v="15998"/>
    <n v="1"/>
    <n v="12"/>
    <n v="3"/>
    <n v="3"/>
    <n v="80"/>
    <n v="2"/>
    <n v="10"/>
    <n v="2"/>
    <n v="10"/>
    <n v="8"/>
    <n v="3"/>
    <n v="0"/>
  </r>
  <r>
    <s v="No"/>
    <s v="Travel_Rarely"/>
    <x v="0"/>
    <s v="Current Employees"/>
    <x v="1"/>
    <x v="2"/>
    <s v="STAFF-105"/>
    <x v="81"/>
    <x v="1"/>
    <x v="1"/>
    <x v="0"/>
    <s v="No"/>
    <s v="Y"/>
    <n v="3"/>
    <n v="-2"/>
    <n v="0"/>
    <x v="10"/>
    <n v="0"/>
    <m/>
    <n v="0"/>
    <n v="1"/>
    <n v="1214"/>
    <n v="1"/>
    <x v="3"/>
    <n v="1"/>
    <n v="2"/>
    <n v="30"/>
    <n v="2"/>
    <n v="1"/>
    <n v="3"/>
    <n v="2859"/>
    <n v="26278"/>
    <n v="1"/>
    <n v="18"/>
    <n v="3"/>
    <n v="1"/>
    <n v="80"/>
    <n v="0"/>
    <n v="6"/>
    <n v="3"/>
    <n v="6"/>
    <n v="4"/>
    <n v="0"/>
    <n v="4"/>
  </r>
  <r>
    <s v="No"/>
    <s v="Travel_Rarely"/>
    <x v="3"/>
    <s v="Current Employees"/>
    <x v="0"/>
    <x v="0"/>
    <s v="STAFF-106"/>
    <x v="82"/>
    <x v="1"/>
    <x v="0"/>
    <x v="1"/>
    <s v="No"/>
    <s v="Y"/>
    <n v="4"/>
    <n v="-2"/>
    <n v="0"/>
    <x v="27"/>
    <n v="0"/>
    <m/>
    <n v="0"/>
    <n v="1"/>
    <n v="111"/>
    <n v="1"/>
    <x v="0"/>
    <n v="1"/>
    <n v="1"/>
    <n v="70"/>
    <n v="3"/>
    <n v="3"/>
    <n v="2"/>
    <n v="10239"/>
    <n v="18092"/>
    <n v="3"/>
    <n v="14"/>
    <n v="3"/>
    <n v="4"/>
    <n v="80"/>
    <n v="1"/>
    <n v="24"/>
    <n v="3"/>
    <n v="1"/>
    <n v="0"/>
    <n v="1"/>
    <n v="0"/>
  </r>
  <r>
    <s v="No"/>
    <s v="Non-Travel"/>
    <x v="0"/>
    <s v="Current Employees"/>
    <x v="1"/>
    <x v="2"/>
    <s v="STAFF-107"/>
    <x v="83"/>
    <x v="0"/>
    <x v="1"/>
    <x v="2"/>
    <s v="Yes"/>
    <s v="Y"/>
    <n v="3"/>
    <n v="-2"/>
    <n v="0"/>
    <x v="8"/>
    <n v="0"/>
    <m/>
    <n v="0"/>
    <n v="1"/>
    <n v="573"/>
    <n v="6"/>
    <x v="3"/>
    <n v="1"/>
    <n v="2"/>
    <n v="79"/>
    <n v="1"/>
    <n v="2"/>
    <n v="4"/>
    <n v="5329"/>
    <n v="15717"/>
    <n v="7"/>
    <n v="12"/>
    <n v="3"/>
    <n v="4"/>
    <n v="80"/>
    <n v="3"/>
    <n v="17"/>
    <n v="3"/>
    <n v="13"/>
    <n v="11"/>
    <n v="1"/>
    <n v="9"/>
  </r>
  <r>
    <s v="No"/>
    <s v="Travel_Rarely"/>
    <x v="2"/>
    <s v="Current Employees"/>
    <x v="1"/>
    <x v="2"/>
    <s v="STAFF-110"/>
    <x v="84"/>
    <x v="1"/>
    <x v="3"/>
    <x v="1"/>
    <s v="No"/>
    <s v="Y"/>
    <n v="2"/>
    <n v="-2"/>
    <n v="0"/>
    <x v="13"/>
    <n v="0"/>
    <m/>
    <n v="0"/>
    <n v="1"/>
    <n v="1153"/>
    <n v="1"/>
    <x v="0"/>
    <n v="1"/>
    <n v="1"/>
    <n v="94"/>
    <n v="3"/>
    <n v="2"/>
    <n v="3"/>
    <n v="4325"/>
    <n v="17736"/>
    <n v="1"/>
    <n v="15"/>
    <n v="3"/>
    <n v="3"/>
    <n v="80"/>
    <n v="0"/>
    <n v="5"/>
    <n v="3"/>
    <n v="5"/>
    <n v="2"/>
    <n v="1"/>
    <n v="3"/>
  </r>
  <r>
    <s v="No"/>
    <s v="Travel_Rarely"/>
    <x v="3"/>
    <s v="Current Employees"/>
    <x v="1"/>
    <x v="0"/>
    <s v="STAFF-112"/>
    <x v="85"/>
    <x v="1"/>
    <x v="3"/>
    <x v="0"/>
    <s v="No"/>
    <s v="Y"/>
    <n v="3"/>
    <n v="-2"/>
    <n v="0"/>
    <x v="29"/>
    <n v="0"/>
    <m/>
    <n v="0"/>
    <n v="1"/>
    <n v="1400"/>
    <n v="7"/>
    <x v="3"/>
    <n v="1"/>
    <n v="4"/>
    <n v="49"/>
    <n v="1"/>
    <n v="3"/>
    <n v="2"/>
    <n v="7260"/>
    <n v="21698"/>
    <n v="4"/>
    <n v="11"/>
    <n v="3"/>
    <n v="1"/>
    <n v="80"/>
    <n v="0"/>
    <n v="37"/>
    <n v="2"/>
    <n v="6"/>
    <n v="4"/>
    <n v="0"/>
    <n v="2"/>
  </r>
  <r>
    <s v="No"/>
    <s v="Travel_Rarely"/>
    <x v="4"/>
    <s v="Current Employees"/>
    <x v="0"/>
    <x v="4"/>
    <s v="STAFF-113"/>
    <x v="86"/>
    <x v="1"/>
    <x v="6"/>
    <x v="2"/>
    <s v="No"/>
    <s v="Y"/>
    <n v="3"/>
    <n v="-2"/>
    <n v="0"/>
    <x v="30"/>
    <n v="0"/>
    <m/>
    <n v="0"/>
    <n v="1"/>
    <n v="541"/>
    <n v="2"/>
    <x v="1"/>
    <n v="1"/>
    <n v="3"/>
    <n v="62"/>
    <n v="3"/>
    <n v="1"/>
    <n v="4"/>
    <n v="2322"/>
    <n v="9518"/>
    <n v="3"/>
    <n v="13"/>
    <n v="3"/>
    <n v="3"/>
    <n v="80"/>
    <n v="1"/>
    <n v="3"/>
    <n v="3"/>
    <n v="0"/>
    <n v="0"/>
    <n v="0"/>
    <n v="0"/>
  </r>
  <r>
    <s v="No"/>
    <s v="Travel_Rarely"/>
    <x v="1"/>
    <s v="Current Employees"/>
    <x v="1"/>
    <x v="0"/>
    <s v="STAFF-116"/>
    <x v="87"/>
    <x v="1"/>
    <x v="2"/>
    <x v="1"/>
    <s v="No"/>
    <s v="Y"/>
    <n v="4"/>
    <n v="-2"/>
    <n v="0"/>
    <x v="31"/>
    <n v="0"/>
    <m/>
    <n v="0"/>
    <n v="1"/>
    <n v="432"/>
    <n v="9"/>
    <x v="2"/>
    <n v="1"/>
    <n v="4"/>
    <n v="96"/>
    <n v="3"/>
    <n v="1"/>
    <n v="2"/>
    <n v="2075"/>
    <n v="18725"/>
    <n v="3"/>
    <n v="23"/>
    <n v="4"/>
    <n v="2"/>
    <n v="80"/>
    <n v="2"/>
    <n v="10"/>
    <n v="3"/>
    <n v="4"/>
    <n v="2"/>
    <n v="0"/>
    <n v="3"/>
  </r>
  <r>
    <s v="No"/>
    <s v="Travel_Rarely"/>
    <x v="2"/>
    <s v="Current Employees"/>
    <x v="1"/>
    <x v="0"/>
    <s v="STAFF-117"/>
    <x v="88"/>
    <x v="1"/>
    <x v="4"/>
    <x v="1"/>
    <s v="No"/>
    <s v="Y"/>
    <n v="3"/>
    <n v="-2"/>
    <n v="0"/>
    <x v="7"/>
    <n v="0"/>
    <m/>
    <n v="0"/>
    <n v="1"/>
    <n v="288"/>
    <n v="2"/>
    <x v="3"/>
    <n v="1"/>
    <n v="3"/>
    <n v="99"/>
    <n v="2"/>
    <n v="2"/>
    <n v="2"/>
    <n v="4152"/>
    <n v="15830"/>
    <n v="1"/>
    <n v="19"/>
    <n v="3"/>
    <n v="1"/>
    <n v="80"/>
    <n v="3"/>
    <n v="11"/>
    <n v="3"/>
    <n v="11"/>
    <n v="10"/>
    <n v="10"/>
    <n v="8"/>
  </r>
  <r>
    <s v="Yes"/>
    <s v="Travel_Rarely"/>
    <x v="1"/>
    <s v="Ex-Employees"/>
    <x v="0"/>
    <x v="2"/>
    <s v="STAFF-118"/>
    <x v="89"/>
    <x v="1"/>
    <x v="0"/>
    <x v="0"/>
    <s v="No"/>
    <s v="Y"/>
    <n v="3"/>
    <n v="-2"/>
    <n v="0"/>
    <x v="21"/>
    <n v="1"/>
    <n v="1"/>
    <n v="1"/>
    <n v="0"/>
    <n v="669"/>
    <n v="9"/>
    <x v="0"/>
    <n v="1"/>
    <n v="3"/>
    <n v="64"/>
    <n v="2"/>
    <n v="3"/>
    <n v="4"/>
    <n v="9619"/>
    <n v="13596"/>
    <n v="1"/>
    <n v="16"/>
    <n v="3"/>
    <n v="4"/>
    <n v="80"/>
    <n v="0"/>
    <n v="9"/>
    <n v="3"/>
    <n v="9"/>
    <n v="8"/>
    <n v="4"/>
    <n v="7"/>
  </r>
  <r>
    <s v="No"/>
    <s v="Travel_Frequently"/>
    <x v="0"/>
    <s v="Current Employees"/>
    <x v="1"/>
    <x v="0"/>
    <s v="STAFF-119"/>
    <x v="90"/>
    <x v="1"/>
    <x v="4"/>
    <x v="1"/>
    <s v="No"/>
    <s v="Y"/>
    <n v="3"/>
    <n v="-2"/>
    <n v="0"/>
    <x v="32"/>
    <n v="0"/>
    <m/>
    <n v="0"/>
    <n v="1"/>
    <n v="530"/>
    <n v="1"/>
    <x v="2"/>
    <n v="1"/>
    <n v="3"/>
    <n v="78"/>
    <n v="2"/>
    <n v="4"/>
    <n v="2"/>
    <n v="13503"/>
    <n v="14115"/>
    <n v="1"/>
    <n v="22"/>
    <n v="4"/>
    <n v="4"/>
    <n v="80"/>
    <n v="1"/>
    <n v="22"/>
    <n v="2"/>
    <n v="22"/>
    <n v="3"/>
    <n v="11"/>
    <n v="11"/>
  </r>
  <r>
    <s v="No"/>
    <s v="Travel_Rarely"/>
    <x v="1"/>
    <s v="Current Employees"/>
    <x v="0"/>
    <x v="3"/>
    <s v="STAFF-120"/>
    <x v="91"/>
    <x v="1"/>
    <x v="0"/>
    <x v="0"/>
    <s v="Yes"/>
    <s v="Y"/>
    <n v="2"/>
    <n v="-2"/>
    <n v="0"/>
    <x v="31"/>
    <n v="0"/>
    <m/>
    <n v="0"/>
    <n v="1"/>
    <n v="632"/>
    <n v="21"/>
    <x v="2"/>
    <n v="1"/>
    <n v="3"/>
    <n v="71"/>
    <n v="3"/>
    <n v="2"/>
    <n v="4"/>
    <n v="5441"/>
    <n v="8423"/>
    <n v="0"/>
    <n v="22"/>
    <n v="4"/>
    <n v="4"/>
    <n v="80"/>
    <n v="0"/>
    <n v="11"/>
    <n v="1"/>
    <n v="10"/>
    <n v="7"/>
    <n v="1"/>
    <n v="0"/>
  </r>
  <r>
    <s v="No"/>
    <s v="Travel_Rarely"/>
    <x v="2"/>
    <s v="Current Employees"/>
    <x v="0"/>
    <x v="2"/>
    <s v="STAFF-121"/>
    <x v="92"/>
    <x v="0"/>
    <x v="0"/>
    <x v="2"/>
    <s v="Yes"/>
    <s v="Y"/>
    <n v="4"/>
    <n v="-2"/>
    <n v="0"/>
    <x v="7"/>
    <n v="0"/>
    <m/>
    <n v="0"/>
    <n v="1"/>
    <n v="1334"/>
    <n v="4"/>
    <x v="0"/>
    <n v="1"/>
    <n v="3"/>
    <n v="63"/>
    <n v="2"/>
    <n v="2"/>
    <n v="3"/>
    <n v="5209"/>
    <n v="19760"/>
    <n v="1"/>
    <n v="12"/>
    <n v="3"/>
    <n v="2"/>
    <n v="80"/>
    <n v="3"/>
    <n v="11"/>
    <n v="2"/>
    <n v="11"/>
    <n v="8"/>
    <n v="2"/>
    <n v="7"/>
  </r>
  <r>
    <s v="No"/>
    <s v="Travel_Frequently"/>
    <x v="1"/>
    <s v="Current Employees"/>
    <x v="1"/>
    <x v="2"/>
    <s v="STAFF-124"/>
    <x v="93"/>
    <x v="1"/>
    <x v="4"/>
    <x v="1"/>
    <s v="Yes"/>
    <s v="Y"/>
    <n v="5"/>
    <n v="-2"/>
    <n v="0"/>
    <x v="21"/>
    <n v="0"/>
    <m/>
    <n v="0"/>
    <n v="1"/>
    <n v="638"/>
    <n v="1"/>
    <x v="3"/>
    <n v="1"/>
    <n v="3"/>
    <n v="40"/>
    <n v="2"/>
    <n v="3"/>
    <n v="4"/>
    <n v="10673"/>
    <n v="3142"/>
    <n v="2"/>
    <n v="13"/>
    <n v="3"/>
    <n v="3"/>
    <n v="80"/>
    <n v="1"/>
    <n v="21"/>
    <n v="2"/>
    <n v="10"/>
    <n v="9"/>
    <n v="9"/>
    <n v="5"/>
  </r>
  <r>
    <s v="No"/>
    <s v="Travel_Rarely"/>
    <x v="2"/>
    <s v="Current Employees"/>
    <x v="0"/>
    <x v="2"/>
    <s v="STAFF-125"/>
    <x v="94"/>
    <x v="1"/>
    <x v="0"/>
    <x v="0"/>
    <s v="No"/>
    <s v="Y"/>
    <n v="0"/>
    <n v="-2"/>
    <n v="0"/>
    <x v="5"/>
    <n v="0"/>
    <m/>
    <n v="0"/>
    <n v="1"/>
    <n v="1093"/>
    <n v="6"/>
    <x v="2"/>
    <n v="1"/>
    <n v="2"/>
    <n v="87"/>
    <n v="3"/>
    <n v="2"/>
    <n v="3"/>
    <n v="5010"/>
    <n v="24301"/>
    <n v="1"/>
    <n v="16"/>
    <n v="3"/>
    <n v="1"/>
    <n v="80"/>
    <n v="0"/>
    <n v="12"/>
    <n v="3"/>
    <n v="11"/>
    <n v="8"/>
    <n v="5"/>
    <n v="7"/>
  </r>
  <r>
    <s v="No"/>
    <s v="Travel_Rarely"/>
    <x v="1"/>
    <s v="Current Employees"/>
    <x v="1"/>
    <x v="4"/>
    <s v="STAFF-126"/>
    <x v="95"/>
    <x v="0"/>
    <x v="7"/>
    <x v="1"/>
    <s v="No"/>
    <s v="Y"/>
    <n v="5"/>
    <n v="-2"/>
    <n v="0"/>
    <x v="33"/>
    <n v="0"/>
    <m/>
    <n v="0"/>
    <n v="1"/>
    <n v="1217"/>
    <n v="2"/>
    <x v="2"/>
    <n v="1"/>
    <n v="1"/>
    <n v="60"/>
    <n v="3"/>
    <n v="3"/>
    <n v="3"/>
    <n v="13549"/>
    <n v="24001"/>
    <n v="9"/>
    <n v="12"/>
    <n v="3"/>
    <n v="1"/>
    <n v="80"/>
    <n v="1"/>
    <n v="16"/>
    <n v="1"/>
    <n v="4"/>
    <n v="3"/>
    <n v="0"/>
    <n v="3"/>
  </r>
  <r>
    <s v="No"/>
    <s v="Travel_Rarely"/>
    <x v="4"/>
    <s v="Current Employees"/>
    <x v="0"/>
    <x v="1"/>
    <s v="STAFF-128"/>
    <x v="96"/>
    <x v="0"/>
    <x v="0"/>
    <x v="1"/>
    <s v="No"/>
    <s v="Y"/>
    <n v="2"/>
    <n v="-2"/>
    <n v="0"/>
    <x v="17"/>
    <n v="0"/>
    <m/>
    <n v="0"/>
    <n v="1"/>
    <n v="1353"/>
    <n v="3"/>
    <x v="0"/>
    <n v="1"/>
    <n v="1"/>
    <n v="33"/>
    <n v="3"/>
    <n v="2"/>
    <n v="3"/>
    <n v="4999"/>
    <n v="17519"/>
    <n v="0"/>
    <n v="21"/>
    <n v="4"/>
    <n v="1"/>
    <n v="80"/>
    <n v="1"/>
    <n v="4"/>
    <n v="2"/>
    <n v="3"/>
    <n v="2"/>
    <n v="0"/>
    <n v="2"/>
  </r>
  <r>
    <s v="No"/>
    <s v="Non-Travel"/>
    <x v="2"/>
    <s v="Current Employees"/>
    <x v="0"/>
    <x v="2"/>
    <s v="STAFF-129"/>
    <x v="97"/>
    <x v="1"/>
    <x v="0"/>
    <x v="1"/>
    <s v="No"/>
    <s v="Y"/>
    <n v="3"/>
    <n v="-2"/>
    <n v="0"/>
    <x v="14"/>
    <n v="0"/>
    <m/>
    <n v="0"/>
    <n v="1"/>
    <n v="120"/>
    <n v="4"/>
    <x v="3"/>
    <n v="1"/>
    <n v="2"/>
    <n v="43"/>
    <n v="3"/>
    <n v="2"/>
    <n v="3"/>
    <n v="4221"/>
    <n v="8863"/>
    <n v="1"/>
    <n v="15"/>
    <n v="3"/>
    <n v="2"/>
    <n v="80"/>
    <n v="0"/>
    <n v="5"/>
    <n v="4"/>
    <n v="5"/>
    <n v="4"/>
    <n v="0"/>
    <n v="4"/>
  </r>
  <r>
    <s v="No"/>
    <s v="Travel_Rarely"/>
    <x v="3"/>
    <s v="Current Employees"/>
    <x v="0"/>
    <x v="2"/>
    <s v="STAFF-131"/>
    <x v="98"/>
    <x v="1"/>
    <x v="0"/>
    <x v="0"/>
    <s v="No"/>
    <s v="Y"/>
    <n v="1"/>
    <n v="-2"/>
    <n v="0"/>
    <x v="34"/>
    <n v="0"/>
    <m/>
    <n v="0"/>
    <n v="1"/>
    <n v="682"/>
    <n v="10"/>
    <x v="2"/>
    <n v="1"/>
    <n v="4"/>
    <n v="37"/>
    <n v="3"/>
    <n v="4"/>
    <n v="3"/>
    <n v="13872"/>
    <n v="24409"/>
    <n v="0"/>
    <n v="13"/>
    <n v="3"/>
    <n v="3"/>
    <n v="80"/>
    <n v="0"/>
    <n v="38"/>
    <n v="2"/>
    <n v="37"/>
    <n v="10"/>
    <n v="1"/>
    <n v="8"/>
  </r>
  <r>
    <s v="No"/>
    <s v="Non-Travel"/>
    <x v="0"/>
    <s v="Current Employees"/>
    <x v="1"/>
    <x v="2"/>
    <s v="STAFF-132"/>
    <x v="99"/>
    <x v="1"/>
    <x v="2"/>
    <x v="1"/>
    <s v="No"/>
    <s v="Y"/>
    <n v="3"/>
    <n v="-2"/>
    <n v="0"/>
    <x v="20"/>
    <n v="0"/>
    <m/>
    <n v="0"/>
    <n v="1"/>
    <n v="489"/>
    <n v="23"/>
    <x v="3"/>
    <n v="1"/>
    <n v="2"/>
    <n v="67"/>
    <n v="3"/>
    <n v="2"/>
    <n v="3"/>
    <n v="2042"/>
    <n v="25043"/>
    <n v="4"/>
    <n v="12"/>
    <n v="3"/>
    <n v="3"/>
    <n v="80"/>
    <n v="1"/>
    <n v="17"/>
    <n v="4"/>
    <n v="3"/>
    <n v="2"/>
    <n v="1"/>
    <n v="2"/>
  </r>
  <r>
    <s v="Yes"/>
    <s v="Travel_Rarely"/>
    <x v="0"/>
    <s v="Ex-Employees"/>
    <x v="2"/>
    <x v="5"/>
    <s v="STAFF-133"/>
    <x v="100"/>
    <x v="1"/>
    <x v="8"/>
    <x v="2"/>
    <s v="Yes"/>
    <s v="Y"/>
    <n v="3"/>
    <n v="-2"/>
    <n v="0"/>
    <x v="2"/>
    <n v="1"/>
    <n v="1"/>
    <n v="1"/>
    <n v="0"/>
    <n v="807"/>
    <n v="6"/>
    <x v="2"/>
    <n v="1"/>
    <n v="3"/>
    <n v="63"/>
    <n v="3"/>
    <n v="1"/>
    <n v="4"/>
    <n v="2073"/>
    <n v="23648"/>
    <n v="4"/>
    <n v="22"/>
    <n v="4"/>
    <n v="4"/>
    <n v="80"/>
    <n v="0"/>
    <n v="7"/>
    <n v="3"/>
    <n v="3"/>
    <n v="2"/>
    <n v="0"/>
    <n v="2"/>
  </r>
  <r>
    <s v="No"/>
    <s v="Travel_Rarely"/>
    <x v="2"/>
    <s v="Current Employees"/>
    <x v="1"/>
    <x v="0"/>
    <s v="STAFF-134"/>
    <x v="101"/>
    <x v="1"/>
    <x v="1"/>
    <x v="0"/>
    <s v="No"/>
    <s v="Y"/>
    <n v="2"/>
    <n v="-2"/>
    <n v="0"/>
    <x v="5"/>
    <n v="0"/>
    <m/>
    <n v="0"/>
    <n v="1"/>
    <n v="827"/>
    <n v="1"/>
    <x v="1"/>
    <n v="1"/>
    <n v="4"/>
    <n v="71"/>
    <n v="3"/>
    <n v="1"/>
    <n v="2"/>
    <n v="2956"/>
    <n v="15178"/>
    <n v="1"/>
    <n v="13"/>
    <n v="3"/>
    <n v="4"/>
    <n v="80"/>
    <n v="0"/>
    <n v="1"/>
    <n v="3"/>
    <n v="1"/>
    <n v="0"/>
    <n v="0"/>
    <n v="0"/>
  </r>
  <r>
    <s v="Yes"/>
    <s v="Travel_Frequently"/>
    <x v="4"/>
    <s v="Ex-Employees"/>
    <x v="1"/>
    <x v="0"/>
    <s v="STAFF-137"/>
    <x v="102"/>
    <x v="0"/>
    <x v="2"/>
    <x v="0"/>
    <s v="Yes"/>
    <s v="Y"/>
    <n v="5"/>
    <n v="-2"/>
    <n v="0"/>
    <x v="35"/>
    <n v="1"/>
    <n v="1"/>
    <n v="1"/>
    <n v="0"/>
    <n v="871"/>
    <n v="6"/>
    <x v="3"/>
    <n v="1"/>
    <n v="4"/>
    <n v="66"/>
    <n v="2"/>
    <n v="1"/>
    <n v="2"/>
    <n v="2926"/>
    <n v="19783"/>
    <n v="1"/>
    <n v="18"/>
    <n v="3"/>
    <n v="2"/>
    <n v="80"/>
    <n v="0"/>
    <n v="1"/>
    <n v="3"/>
    <n v="1"/>
    <n v="0"/>
    <n v="1"/>
    <n v="0"/>
  </r>
  <r>
    <s v="No"/>
    <s v="Travel_Rarely"/>
    <x v="2"/>
    <s v="Current Employees"/>
    <x v="1"/>
    <x v="1"/>
    <s v="STAFF-138"/>
    <x v="103"/>
    <x v="0"/>
    <x v="1"/>
    <x v="0"/>
    <s v="No"/>
    <s v="Y"/>
    <n v="3"/>
    <n v="-2"/>
    <n v="0"/>
    <x v="13"/>
    <n v="0"/>
    <m/>
    <n v="0"/>
    <n v="1"/>
    <n v="665"/>
    <n v="6"/>
    <x v="2"/>
    <n v="1"/>
    <n v="1"/>
    <n v="41"/>
    <n v="3"/>
    <n v="2"/>
    <n v="3"/>
    <n v="4809"/>
    <n v="12482"/>
    <n v="1"/>
    <n v="14"/>
    <n v="3"/>
    <n v="3"/>
    <n v="80"/>
    <n v="0"/>
    <n v="16"/>
    <n v="3"/>
    <n v="16"/>
    <n v="13"/>
    <n v="2"/>
    <n v="10"/>
  </r>
  <r>
    <s v="No"/>
    <s v="Non-Travel"/>
    <x v="0"/>
    <s v="Current Employees"/>
    <x v="1"/>
    <x v="0"/>
    <s v="STAFF-139"/>
    <x v="104"/>
    <x v="1"/>
    <x v="4"/>
    <x v="2"/>
    <s v="No"/>
    <s v="Y"/>
    <n v="2"/>
    <n v="-2"/>
    <n v="0"/>
    <x v="2"/>
    <n v="0"/>
    <m/>
    <n v="0"/>
    <n v="1"/>
    <n v="1040"/>
    <n v="2"/>
    <x v="0"/>
    <n v="1"/>
    <n v="3"/>
    <n v="100"/>
    <n v="2"/>
    <n v="2"/>
    <n v="2"/>
    <n v="5163"/>
    <n v="15850"/>
    <n v="5"/>
    <n v="14"/>
    <n v="3"/>
    <n v="4"/>
    <n v="80"/>
    <n v="1"/>
    <n v="17"/>
    <n v="4"/>
    <n v="1"/>
    <n v="0"/>
    <n v="0"/>
    <n v="0"/>
  </r>
  <r>
    <s v="No"/>
    <s v="Non-Travel"/>
    <x v="3"/>
    <s v="Current Employees"/>
    <x v="2"/>
    <x v="5"/>
    <s v="STAFF-140"/>
    <x v="105"/>
    <x v="0"/>
    <x v="5"/>
    <x v="1"/>
    <s v="No"/>
    <s v="Y"/>
    <n v="3"/>
    <n v="-2"/>
    <n v="0"/>
    <x v="6"/>
    <n v="0"/>
    <m/>
    <n v="0"/>
    <n v="1"/>
    <n v="1420"/>
    <n v="2"/>
    <x v="2"/>
    <n v="1"/>
    <n v="3"/>
    <n v="32"/>
    <n v="2"/>
    <n v="5"/>
    <n v="4"/>
    <n v="18844"/>
    <n v="21922"/>
    <n v="9"/>
    <n v="21"/>
    <n v="4"/>
    <n v="4"/>
    <n v="80"/>
    <n v="1"/>
    <n v="30"/>
    <n v="3"/>
    <n v="3"/>
    <n v="2"/>
    <n v="2"/>
    <n v="2"/>
  </r>
  <r>
    <s v="No"/>
    <s v="Travel_Frequently"/>
    <x v="1"/>
    <s v="Current Employees"/>
    <x v="1"/>
    <x v="0"/>
    <s v="STAFF-141"/>
    <x v="106"/>
    <x v="0"/>
    <x v="7"/>
    <x v="1"/>
    <s v="Yes"/>
    <s v="Y"/>
    <n v="1"/>
    <n v="-2"/>
    <n v="0"/>
    <x v="24"/>
    <n v="0"/>
    <m/>
    <n v="0"/>
    <n v="1"/>
    <n v="1115"/>
    <n v="1"/>
    <x v="3"/>
    <n v="1"/>
    <n v="1"/>
    <n v="73"/>
    <n v="3"/>
    <n v="5"/>
    <n v="2"/>
    <n v="18172"/>
    <n v="9755"/>
    <n v="3"/>
    <n v="19"/>
    <n v="3"/>
    <n v="1"/>
    <n v="80"/>
    <n v="0"/>
    <n v="28"/>
    <n v="2"/>
    <n v="8"/>
    <n v="3"/>
    <n v="0"/>
    <n v="7"/>
  </r>
  <r>
    <s v="Yes"/>
    <s v="Travel_Rarely"/>
    <x v="2"/>
    <s v="Ex-Employees"/>
    <x v="0"/>
    <x v="3"/>
    <s v="STAFF-142"/>
    <x v="107"/>
    <x v="1"/>
    <x v="0"/>
    <x v="0"/>
    <s v="Yes"/>
    <s v="Y"/>
    <n v="1"/>
    <n v="-2"/>
    <n v="0"/>
    <x v="36"/>
    <n v="1"/>
    <n v="1"/>
    <n v="1"/>
    <n v="0"/>
    <n v="240"/>
    <n v="5"/>
    <x v="3"/>
    <n v="1"/>
    <n v="3"/>
    <n v="46"/>
    <n v="2"/>
    <n v="2"/>
    <n v="3"/>
    <n v="5744"/>
    <n v="26959"/>
    <n v="1"/>
    <n v="11"/>
    <n v="3"/>
    <n v="4"/>
    <n v="80"/>
    <n v="0"/>
    <n v="6"/>
    <n v="3"/>
    <n v="6"/>
    <n v="4"/>
    <n v="0"/>
    <n v="3"/>
  </r>
  <r>
    <s v="No"/>
    <s v="Travel_Rarely"/>
    <x v="2"/>
    <s v="Current Employees"/>
    <x v="1"/>
    <x v="2"/>
    <s v="STAFF-143"/>
    <x v="108"/>
    <x v="1"/>
    <x v="1"/>
    <x v="1"/>
    <s v="No"/>
    <s v="Y"/>
    <n v="2"/>
    <n v="-2"/>
    <n v="0"/>
    <x v="36"/>
    <n v="0"/>
    <m/>
    <n v="0"/>
    <n v="1"/>
    <n v="1280"/>
    <n v="7"/>
    <x v="1"/>
    <n v="1"/>
    <n v="4"/>
    <n v="64"/>
    <n v="2"/>
    <n v="1"/>
    <n v="4"/>
    <n v="2889"/>
    <n v="26897"/>
    <n v="1"/>
    <n v="11"/>
    <n v="3"/>
    <n v="3"/>
    <n v="80"/>
    <n v="2"/>
    <n v="2"/>
    <n v="3"/>
    <n v="2"/>
    <n v="2"/>
    <n v="2"/>
    <n v="1"/>
  </r>
  <r>
    <s v="No"/>
    <s v="Travel_Rarely"/>
    <x v="4"/>
    <s v="Current Employees"/>
    <x v="1"/>
    <x v="2"/>
    <s v="STAFF-144"/>
    <x v="109"/>
    <x v="0"/>
    <x v="2"/>
    <x v="0"/>
    <s v="No"/>
    <s v="Y"/>
    <n v="5"/>
    <n v="-2"/>
    <n v="0"/>
    <x v="15"/>
    <n v="0"/>
    <m/>
    <n v="0"/>
    <n v="1"/>
    <n v="534"/>
    <n v="15"/>
    <x v="3"/>
    <n v="1"/>
    <n v="2"/>
    <n v="59"/>
    <n v="3"/>
    <n v="1"/>
    <n v="4"/>
    <n v="2871"/>
    <n v="23785"/>
    <n v="1"/>
    <n v="15"/>
    <n v="3"/>
    <n v="3"/>
    <n v="80"/>
    <n v="0"/>
    <n v="1"/>
    <n v="3"/>
    <n v="0"/>
    <n v="0"/>
    <n v="0"/>
    <n v="0"/>
  </r>
  <r>
    <s v="No"/>
    <s v="Travel_Frequently"/>
    <x v="1"/>
    <s v="Current Employees"/>
    <x v="1"/>
    <x v="2"/>
    <s v="STAFF-145"/>
    <x v="110"/>
    <x v="0"/>
    <x v="4"/>
    <x v="0"/>
    <s v="No"/>
    <s v="Y"/>
    <n v="1"/>
    <n v="-2"/>
    <n v="0"/>
    <x v="31"/>
    <n v="0"/>
    <m/>
    <n v="0"/>
    <n v="1"/>
    <n v="1456"/>
    <n v="1"/>
    <x v="2"/>
    <n v="1"/>
    <n v="1"/>
    <n v="30"/>
    <n v="2"/>
    <n v="3"/>
    <n v="4"/>
    <n v="7484"/>
    <n v="25796"/>
    <n v="3"/>
    <n v="20"/>
    <n v="4"/>
    <n v="3"/>
    <n v="80"/>
    <n v="0"/>
    <n v="23"/>
    <n v="2"/>
    <n v="13"/>
    <n v="12"/>
    <n v="12"/>
    <n v="8"/>
  </r>
  <r>
    <s v="Yes"/>
    <s v="Travel_Frequently"/>
    <x v="2"/>
    <s v="Ex-Employees"/>
    <x v="1"/>
    <x v="0"/>
    <s v="STAFF-147"/>
    <x v="111"/>
    <x v="1"/>
    <x v="2"/>
    <x v="0"/>
    <s v="Yes"/>
    <s v="Y"/>
    <n v="3"/>
    <n v="-2"/>
    <n v="0"/>
    <x v="13"/>
    <n v="1"/>
    <n v="1"/>
    <n v="1"/>
    <n v="0"/>
    <n v="658"/>
    <n v="7"/>
    <x v="3"/>
    <n v="1"/>
    <n v="1"/>
    <n v="66"/>
    <n v="1"/>
    <n v="2"/>
    <n v="2"/>
    <n v="6074"/>
    <n v="22887"/>
    <n v="1"/>
    <n v="24"/>
    <n v="4"/>
    <n v="4"/>
    <n v="80"/>
    <n v="0"/>
    <n v="9"/>
    <n v="3"/>
    <n v="9"/>
    <n v="7"/>
    <n v="0"/>
    <n v="6"/>
  </r>
  <r>
    <s v="No"/>
    <s v="Non-Travel"/>
    <x v="1"/>
    <s v="Current Employees"/>
    <x v="2"/>
    <x v="5"/>
    <s v="STAFF-148"/>
    <x v="112"/>
    <x v="0"/>
    <x v="5"/>
    <x v="0"/>
    <s v="Yes"/>
    <s v="Y"/>
    <n v="3"/>
    <n v="-2"/>
    <n v="0"/>
    <x v="33"/>
    <n v="0"/>
    <m/>
    <n v="0"/>
    <n v="1"/>
    <n v="142"/>
    <n v="26"/>
    <x v="3"/>
    <n v="1"/>
    <n v="4"/>
    <n v="30"/>
    <n v="4"/>
    <n v="4"/>
    <n v="4"/>
    <n v="17328"/>
    <n v="13871"/>
    <n v="2"/>
    <n v="12"/>
    <n v="3"/>
    <n v="3"/>
    <n v="80"/>
    <n v="0"/>
    <n v="23"/>
    <n v="3"/>
    <n v="5"/>
    <n v="3"/>
    <n v="4"/>
    <n v="4"/>
  </r>
  <r>
    <s v="No"/>
    <s v="Travel_Rarely"/>
    <x v="4"/>
    <s v="Current Employees"/>
    <x v="1"/>
    <x v="0"/>
    <s v="STAFF-150"/>
    <x v="113"/>
    <x v="1"/>
    <x v="2"/>
    <x v="1"/>
    <s v="No"/>
    <s v="Y"/>
    <n v="2"/>
    <n v="-2"/>
    <n v="0"/>
    <x v="17"/>
    <n v="0"/>
    <m/>
    <n v="0"/>
    <n v="1"/>
    <n v="1127"/>
    <n v="18"/>
    <x v="1"/>
    <n v="1"/>
    <n v="2"/>
    <n v="52"/>
    <n v="3"/>
    <n v="1"/>
    <n v="2"/>
    <n v="2774"/>
    <n v="13257"/>
    <n v="0"/>
    <n v="12"/>
    <n v="3"/>
    <n v="3"/>
    <n v="80"/>
    <n v="1"/>
    <n v="6"/>
    <n v="3"/>
    <n v="5"/>
    <n v="3"/>
    <n v="1"/>
    <n v="2"/>
  </r>
  <r>
    <s v="No"/>
    <s v="Travel_Rarely"/>
    <x v="2"/>
    <s v="Current Employees"/>
    <x v="1"/>
    <x v="0"/>
    <s v="STAFF-151"/>
    <x v="114"/>
    <x v="0"/>
    <x v="1"/>
    <x v="2"/>
    <s v="No"/>
    <s v="Y"/>
    <n v="3"/>
    <n v="-2"/>
    <n v="0"/>
    <x v="13"/>
    <n v="0"/>
    <m/>
    <n v="0"/>
    <n v="1"/>
    <n v="1031"/>
    <n v="6"/>
    <x v="2"/>
    <n v="1"/>
    <n v="3"/>
    <n v="45"/>
    <n v="2"/>
    <n v="2"/>
    <n v="2"/>
    <n v="4505"/>
    <n v="15000"/>
    <n v="6"/>
    <n v="15"/>
    <n v="3"/>
    <n v="3"/>
    <n v="80"/>
    <n v="1"/>
    <n v="12"/>
    <n v="3"/>
    <n v="1"/>
    <n v="0"/>
    <n v="0"/>
    <n v="0"/>
  </r>
  <r>
    <s v="No"/>
    <s v="Travel_Rarely"/>
    <x v="0"/>
    <s v="Current Employees"/>
    <x v="0"/>
    <x v="0"/>
    <s v="STAFF-152"/>
    <x v="115"/>
    <x v="1"/>
    <x v="0"/>
    <x v="0"/>
    <s v="No"/>
    <s v="Y"/>
    <n v="3"/>
    <n v="-2"/>
    <n v="0"/>
    <x v="2"/>
    <n v="0"/>
    <m/>
    <n v="0"/>
    <n v="1"/>
    <n v="1189"/>
    <n v="3"/>
    <x v="3"/>
    <n v="1"/>
    <n v="3"/>
    <n v="87"/>
    <n v="3"/>
    <n v="3"/>
    <n v="2"/>
    <n v="7428"/>
    <n v="14506"/>
    <n v="2"/>
    <n v="12"/>
    <n v="3"/>
    <n v="1"/>
    <n v="80"/>
    <n v="0"/>
    <n v="12"/>
    <n v="3"/>
    <n v="5"/>
    <n v="3"/>
    <n v="1"/>
    <n v="3"/>
  </r>
  <r>
    <s v="No"/>
    <s v="Travel_Rarely"/>
    <x v="2"/>
    <s v="Current Employees"/>
    <x v="1"/>
    <x v="2"/>
    <s v="STAFF-153"/>
    <x v="116"/>
    <x v="0"/>
    <x v="5"/>
    <x v="0"/>
    <s v="No"/>
    <s v="Y"/>
    <n v="6"/>
    <n v="-2"/>
    <n v="0"/>
    <x v="13"/>
    <n v="0"/>
    <m/>
    <n v="0"/>
    <n v="1"/>
    <n v="1354"/>
    <n v="5"/>
    <x v="3"/>
    <n v="1"/>
    <n v="3"/>
    <n v="45"/>
    <n v="2"/>
    <n v="3"/>
    <n v="4"/>
    <n v="11631"/>
    <n v="5615"/>
    <n v="2"/>
    <n v="12"/>
    <n v="3"/>
    <n v="4"/>
    <n v="80"/>
    <n v="0"/>
    <n v="14"/>
    <n v="3"/>
    <n v="11"/>
    <n v="10"/>
    <n v="5"/>
    <n v="8"/>
  </r>
  <r>
    <s v="No"/>
    <s v="Travel_Frequently"/>
    <x v="0"/>
    <s v="Current Employees"/>
    <x v="0"/>
    <x v="4"/>
    <s v="STAFF-154"/>
    <x v="117"/>
    <x v="0"/>
    <x v="0"/>
    <x v="1"/>
    <s v="No"/>
    <s v="Y"/>
    <n v="6"/>
    <n v="-2"/>
    <n v="0"/>
    <x v="9"/>
    <n v="0"/>
    <m/>
    <n v="0"/>
    <n v="1"/>
    <n v="1467"/>
    <n v="11"/>
    <x v="0"/>
    <n v="1"/>
    <n v="2"/>
    <n v="92"/>
    <n v="3"/>
    <n v="3"/>
    <n v="4"/>
    <n v="9738"/>
    <n v="22952"/>
    <n v="0"/>
    <n v="14"/>
    <n v="3"/>
    <n v="3"/>
    <n v="80"/>
    <n v="1"/>
    <n v="10"/>
    <n v="3"/>
    <n v="9"/>
    <n v="7"/>
    <n v="2"/>
    <n v="8"/>
  </r>
  <r>
    <s v="No"/>
    <s v="Travel_Rarely"/>
    <x v="0"/>
    <s v="Current Employees"/>
    <x v="1"/>
    <x v="0"/>
    <s v="STAFF-155"/>
    <x v="118"/>
    <x v="0"/>
    <x v="2"/>
    <x v="2"/>
    <s v="No"/>
    <s v="Y"/>
    <n v="2"/>
    <n v="-2"/>
    <n v="0"/>
    <x v="9"/>
    <n v="0"/>
    <m/>
    <n v="0"/>
    <n v="1"/>
    <n v="922"/>
    <n v="3"/>
    <x v="0"/>
    <n v="1"/>
    <n v="1"/>
    <n v="39"/>
    <n v="3"/>
    <n v="1"/>
    <n v="2"/>
    <n v="2835"/>
    <n v="2561"/>
    <n v="5"/>
    <n v="22"/>
    <n v="4"/>
    <n v="1"/>
    <n v="80"/>
    <n v="1"/>
    <n v="7"/>
    <n v="3"/>
    <n v="1"/>
    <n v="0"/>
    <n v="0"/>
    <n v="0"/>
  </r>
  <r>
    <s v="No"/>
    <s v="Travel_Frequently"/>
    <x v="0"/>
    <s v="Current Employees"/>
    <x v="0"/>
    <x v="0"/>
    <s v="STAFF-158"/>
    <x v="119"/>
    <x v="1"/>
    <x v="5"/>
    <x v="1"/>
    <s v="Yes"/>
    <s v="Y"/>
    <n v="3"/>
    <n v="-2"/>
    <n v="0"/>
    <x v="23"/>
    <n v="0"/>
    <m/>
    <n v="0"/>
    <n v="1"/>
    <n v="394"/>
    <n v="26"/>
    <x v="0"/>
    <n v="1"/>
    <n v="3"/>
    <n v="92"/>
    <n v="3"/>
    <n v="4"/>
    <n v="2"/>
    <n v="16959"/>
    <n v="19494"/>
    <n v="1"/>
    <n v="12"/>
    <n v="3"/>
    <n v="4"/>
    <n v="80"/>
    <n v="2"/>
    <n v="25"/>
    <n v="4"/>
    <n v="25"/>
    <n v="12"/>
    <n v="4"/>
    <n v="12"/>
  </r>
  <r>
    <s v="No"/>
    <s v="Travel_Frequently"/>
    <x v="2"/>
    <s v="Current Employees"/>
    <x v="1"/>
    <x v="0"/>
    <s v="STAFF-159"/>
    <x v="120"/>
    <x v="1"/>
    <x v="1"/>
    <x v="2"/>
    <s v="No"/>
    <s v="Y"/>
    <n v="2"/>
    <n v="-2"/>
    <n v="0"/>
    <x v="7"/>
    <n v="0"/>
    <m/>
    <n v="0"/>
    <n v="1"/>
    <n v="1312"/>
    <n v="23"/>
    <x v="3"/>
    <n v="1"/>
    <n v="1"/>
    <n v="96"/>
    <n v="1"/>
    <n v="1"/>
    <n v="2"/>
    <n v="2613"/>
    <n v="22310"/>
    <n v="1"/>
    <n v="25"/>
    <n v="4"/>
    <n v="3"/>
    <n v="80"/>
    <n v="3"/>
    <n v="10"/>
    <n v="2"/>
    <n v="10"/>
    <n v="7"/>
    <n v="0"/>
    <n v="9"/>
  </r>
  <r>
    <s v="No"/>
    <s v="Non-Travel"/>
    <x v="2"/>
    <s v="Current Employees"/>
    <x v="0"/>
    <x v="3"/>
    <s v="STAFF-160"/>
    <x v="121"/>
    <x v="1"/>
    <x v="0"/>
    <x v="1"/>
    <s v="No"/>
    <s v="Y"/>
    <n v="2"/>
    <n v="-2"/>
    <n v="0"/>
    <x v="3"/>
    <n v="0"/>
    <m/>
    <n v="0"/>
    <n v="1"/>
    <n v="750"/>
    <n v="22"/>
    <x v="0"/>
    <n v="1"/>
    <n v="3"/>
    <n v="95"/>
    <n v="3"/>
    <n v="2"/>
    <n v="3"/>
    <n v="6146"/>
    <n v="15480"/>
    <n v="0"/>
    <n v="13"/>
    <n v="3"/>
    <n v="1"/>
    <n v="80"/>
    <n v="1"/>
    <n v="8"/>
    <n v="4"/>
    <n v="7"/>
    <n v="7"/>
    <n v="0"/>
    <n v="7"/>
  </r>
  <r>
    <s v="Yes"/>
    <s v="Travel_Rarely"/>
    <x v="3"/>
    <s v="Ex-Employees"/>
    <x v="1"/>
    <x v="0"/>
    <s v="STAFF-161"/>
    <x v="122"/>
    <x v="0"/>
    <x v="1"/>
    <x v="1"/>
    <s v="Yes"/>
    <s v="Y"/>
    <n v="2"/>
    <n v="-2"/>
    <n v="0"/>
    <x v="29"/>
    <n v="1"/>
    <n v="1"/>
    <n v="1"/>
    <n v="0"/>
    <n v="441"/>
    <n v="14"/>
    <x v="2"/>
    <n v="1"/>
    <n v="2"/>
    <n v="72"/>
    <n v="3"/>
    <n v="1"/>
    <n v="2"/>
    <n v="4963"/>
    <n v="4510"/>
    <n v="9"/>
    <n v="18"/>
    <n v="3"/>
    <n v="1"/>
    <n v="80"/>
    <n v="3"/>
    <n v="7"/>
    <n v="3"/>
    <n v="5"/>
    <n v="4"/>
    <n v="4"/>
    <n v="3"/>
  </r>
  <r>
    <s v="No"/>
    <s v="Travel_Rarely"/>
    <x v="1"/>
    <s v="Current Employees"/>
    <x v="1"/>
    <x v="0"/>
    <s v="STAFF-162"/>
    <x v="123"/>
    <x v="1"/>
    <x v="7"/>
    <x v="0"/>
    <s v="No"/>
    <s v="Y"/>
    <n v="5"/>
    <n v="-2"/>
    <n v="0"/>
    <x v="31"/>
    <n v="0"/>
    <m/>
    <n v="0"/>
    <n v="1"/>
    <n v="684"/>
    <n v="6"/>
    <x v="3"/>
    <n v="1"/>
    <n v="1"/>
    <n v="51"/>
    <n v="3"/>
    <n v="5"/>
    <n v="2"/>
    <n v="19537"/>
    <n v="6462"/>
    <n v="7"/>
    <n v="13"/>
    <n v="3"/>
    <n v="3"/>
    <n v="80"/>
    <n v="0"/>
    <n v="23"/>
    <n v="3"/>
    <n v="20"/>
    <n v="18"/>
    <n v="15"/>
    <n v="15"/>
  </r>
  <r>
    <s v="Yes"/>
    <s v="Travel_Rarely"/>
    <x v="2"/>
    <s v="Ex-Employees"/>
    <x v="0"/>
    <x v="0"/>
    <s v="STAFF-163"/>
    <x v="124"/>
    <x v="1"/>
    <x v="0"/>
    <x v="1"/>
    <s v="Yes"/>
    <s v="Y"/>
    <n v="3"/>
    <n v="-2"/>
    <n v="0"/>
    <x v="12"/>
    <n v="1"/>
    <n v="1"/>
    <n v="1"/>
    <n v="0"/>
    <n v="249"/>
    <n v="6"/>
    <x v="2"/>
    <n v="1"/>
    <n v="2"/>
    <n v="76"/>
    <n v="1"/>
    <n v="2"/>
    <n v="2"/>
    <n v="6172"/>
    <n v="20739"/>
    <n v="4"/>
    <n v="18"/>
    <n v="3"/>
    <n v="2"/>
    <n v="80"/>
    <n v="0"/>
    <n v="12"/>
    <n v="2"/>
    <n v="7"/>
    <n v="7"/>
    <n v="7"/>
    <n v="7"/>
  </r>
  <r>
    <s v="No"/>
    <s v="Travel_Rarely"/>
    <x v="2"/>
    <s v="Current Employees"/>
    <x v="1"/>
    <x v="1"/>
    <s v="STAFF-164"/>
    <x v="125"/>
    <x v="0"/>
    <x v="1"/>
    <x v="1"/>
    <s v="No"/>
    <s v="Y"/>
    <n v="3"/>
    <n v="-2"/>
    <n v="0"/>
    <x v="25"/>
    <n v="0"/>
    <m/>
    <n v="0"/>
    <n v="1"/>
    <n v="841"/>
    <n v="6"/>
    <x v="3"/>
    <n v="1"/>
    <n v="3"/>
    <n v="46"/>
    <n v="2"/>
    <n v="1"/>
    <n v="3"/>
    <n v="2368"/>
    <n v="23300"/>
    <n v="1"/>
    <n v="19"/>
    <n v="3"/>
    <n v="3"/>
    <n v="80"/>
    <n v="0"/>
    <n v="5"/>
    <n v="2"/>
    <n v="5"/>
    <n v="4"/>
    <n v="4"/>
    <n v="3"/>
  </r>
  <r>
    <s v="Yes"/>
    <s v="Travel_Rarely"/>
    <x v="3"/>
    <s v="Ex-Employees"/>
    <x v="1"/>
    <x v="2"/>
    <s v="STAFF-165"/>
    <x v="126"/>
    <x v="0"/>
    <x v="4"/>
    <x v="1"/>
    <s v="No"/>
    <s v="Y"/>
    <n v="3"/>
    <n v="-2"/>
    <n v="0"/>
    <x v="34"/>
    <n v="1"/>
    <n v="1"/>
    <n v="1"/>
    <n v="0"/>
    <n v="147"/>
    <n v="23"/>
    <x v="2"/>
    <n v="1"/>
    <n v="4"/>
    <n v="94"/>
    <n v="3"/>
    <n v="3"/>
    <n v="4"/>
    <n v="10312"/>
    <n v="3465"/>
    <n v="1"/>
    <n v="12"/>
    <n v="3"/>
    <n v="4"/>
    <n v="80"/>
    <n v="1"/>
    <n v="40"/>
    <n v="2"/>
    <n v="40"/>
    <n v="10"/>
    <n v="15"/>
    <n v="6"/>
  </r>
  <r>
    <s v="Yes"/>
    <s v="Travel_Rarely"/>
    <x v="4"/>
    <s v="Ex-Employees"/>
    <x v="0"/>
    <x v="3"/>
    <s v="STAFF-167"/>
    <x v="127"/>
    <x v="1"/>
    <x v="6"/>
    <x v="0"/>
    <s v="Yes"/>
    <s v="Y"/>
    <n v="2"/>
    <n v="-2"/>
    <n v="0"/>
    <x v="37"/>
    <n v="1"/>
    <n v="1"/>
    <n v="1"/>
    <n v="0"/>
    <n v="528"/>
    <n v="22"/>
    <x v="1"/>
    <n v="1"/>
    <n v="4"/>
    <n v="50"/>
    <n v="3"/>
    <n v="1"/>
    <n v="3"/>
    <n v="1675"/>
    <n v="26820"/>
    <n v="1"/>
    <n v="19"/>
    <n v="3"/>
    <n v="4"/>
    <n v="80"/>
    <n v="0"/>
    <n v="0"/>
    <n v="2"/>
    <n v="0"/>
    <n v="0"/>
    <n v="0"/>
    <n v="0"/>
  </r>
  <r>
    <s v="No"/>
    <s v="Travel_Rarely"/>
    <x v="4"/>
    <s v="Current Employees"/>
    <x v="1"/>
    <x v="4"/>
    <s v="STAFF-169"/>
    <x v="128"/>
    <x v="1"/>
    <x v="2"/>
    <x v="1"/>
    <s v="No"/>
    <s v="Y"/>
    <n v="2"/>
    <n v="-2"/>
    <n v="0"/>
    <x v="15"/>
    <n v="0"/>
    <m/>
    <n v="0"/>
    <n v="1"/>
    <n v="594"/>
    <n v="2"/>
    <x v="1"/>
    <n v="1"/>
    <n v="3"/>
    <n v="100"/>
    <n v="3"/>
    <n v="1"/>
    <n v="4"/>
    <n v="2523"/>
    <n v="19299"/>
    <n v="0"/>
    <n v="14"/>
    <n v="3"/>
    <n v="3"/>
    <n v="80"/>
    <n v="1"/>
    <n v="3"/>
    <n v="3"/>
    <n v="2"/>
    <n v="1"/>
    <n v="2"/>
    <n v="1"/>
  </r>
  <r>
    <s v="No"/>
    <s v="Travel_Rarely"/>
    <x v="1"/>
    <s v="Current Employees"/>
    <x v="1"/>
    <x v="2"/>
    <s v="STAFF-170"/>
    <x v="129"/>
    <x v="0"/>
    <x v="3"/>
    <x v="1"/>
    <s v="No"/>
    <s v="Y"/>
    <n v="2"/>
    <n v="-2"/>
    <n v="0"/>
    <x v="1"/>
    <n v="0"/>
    <m/>
    <n v="0"/>
    <n v="1"/>
    <n v="470"/>
    <n v="20"/>
    <x v="2"/>
    <n v="1"/>
    <n v="3"/>
    <n v="96"/>
    <n v="3"/>
    <n v="2"/>
    <n v="1"/>
    <n v="6567"/>
    <n v="5549"/>
    <n v="1"/>
    <n v="14"/>
    <n v="3"/>
    <n v="3"/>
    <n v="80"/>
    <n v="0"/>
    <n v="16"/>
    <n v="2"/>
    <n v="15"/>
    <n v="11"/>
    <n v="5"/>
    <n v="11"/>
  </r>
  <r>
    <s v="No"/>
    <s v="Travel_Frequently"/>
    <x v="0"/>
    <s v="Current Employees"/>
    <x v="1"/>
    <x v="2"/>
    <s v="STAFF-171"/>
    <x v="130"/>
    <x v="0"/>
    <x v="1"/>
    <x v="0"/>
    <s v="No"/>
    <s v="Y"/>
    <n v="2"/>
    <n v="-2"/>
    <n v="0"/>
    <x v="23"/>
    <n v="0"/>
    <m/>
    <n v="0"/>
    <n v="1"/>
    <n v="957"/>
    <n v="28"/>
    <x v="3"/>
    <n v="1"/>
    <n v="2"/>
    <n v="72"/>
    <n v="4"/>
    <n v="1"/>
    <n v="3"/>
    <n v="4739"/>
    <n v="16090"/>
    <n v="4"/>
    <n v="12"/>
    <n v="3"/>
    <n v="4"/>
    <n v="80"/>
    <n v="0"/>
    <n v="18"/>
    <n v="3"/>
    <n v="3"/>
    <n v="2"/>
    <n v="1"/>
    <n v="2"/>
  </r>
  <r>
    <s v="No"/>
    <s v="Travel_Frequently"/>
    <x v="1"/>
    <s v="Current Employees"/>
    <x v="0"/>
    <x v="3"/>
    <s v="STAFF-174"/>
    <x v="131"/>
    <x v="0"/>
    <x v="0"/>
    <x v="0"/>
    <s v="No"/>
    <s v="Y"/>
    <n v="3"/>
    <n v="-2"/>
    <n v="0"/>
    <x v="24"/>
    <n v="0"/>
    <m/>
    <n v="0"/>
    <n v="1"/>
    <n v="809"/>
    <n v="12"/>
    <x v="3"/>
    <n v="1"/>
    <n v="3"/>
    <n v="77"/>
    <n v="3"/>
    <n v="3"/>
    <n v="4"/>
    <n v="9208"/>
    <n v="6645"/>
    <n v="4"/>
    <n v="11"/>
    <n v="3"/>
    <n v="4"/>
    <n v="80"/>
    <n v="0"/>
    <n v="16"/>
    <n v="3"/>
    <n v="2"/>
    <n v="2"/>
    <n v="2"/>
    <n v="1"/>
  </r>
  <r>
    <s v="Yes"/>
    <s v="Travel_Rarely"/>
    <x v="2"/>
    <s v="Ex-Employees"/>
    <x v="0"/>
    <x v="0"/>
    <s v="STAFF-175"/>
    <x v="132"/>
    <x v="0"/>
    <x v="0"/>
    <x v="1"/>
    <s v="Yes"/>
    <s v="Y"/>
    <n v="2"/>
    <n v="-2"/>
    <n v="0"/>
    <x v="12"/>
    <n v="1"/>
    <n v="1"/>
    <n v="1"/>
    <n v="0"/>
    <n v="542"/>
    <n v="20"/>
    <x v="3"/>
    <n v="1"/>
    <n v="2"/>
    <n v="71"/>
    <n v="1"/>
    <n v="2"/>
    <n v="2"/>
    <n v="4559"/>
    <n v="24788"/>
    <n v="3"/>
    <n v="11"/>
    <n v="3"/>
    <n v="3"/>
    <n v="80"/>
    <n v="1"/>
    <n v="4"/>
    <n v="3"/>
    <n v="2"/>
    <n v="2"/>
    <n v="2"/>
    <n v="2"/>
  </r>
  <r>
    <s v="No"/>
    <s v="Travel_Rarely"/>
    <x v="0"/>
    <s v="Current Employees"/>
    <x v="0"/>
    <x v="0"/>
    <s v="STAFF-176"/>
    <x v="133"/>
    <x v="1"/>
    <x v="0"/>
    <x v="2"/>
    <s v="Yes"/>
    <s v="Y"/>
    <n v="2"/>
    <n v="-2"/>
    <n v="0"/>
    <x v="0"/>
    <n v="0"/>
    <m/>
    <n v="0"/>
    <n v="1"/>
    <n v="802"/>
    <n v="9"/>
    <x v="1"/>
    <n v="1"/>
    <n v="3"/>
    <n v="96"/>
    <n v="3"/>
    <n v="3"/>
    <n v="2"/>
    <n v="8189"/>
    <n v="21196"/>
    <n v="3"/>
    <n v="13"/>
    <n v="3"/>
    <n v="3"/>
    <n v="80"/>
    <n v="1"/>
    <n v="12"/>
    <n v="3"/>
    <n v="9"/>
    <n v="7"/>
    <n v="0"/>
    <n v="7"/>
  </r>
  <r>
    <s v="No"/>
    <s v="Travel_Rarely"/>
    <x v="2"/>
    <s v="Current Employees"/>
    <x v="2"/>
    <x v="0"/>
    <s v="STAFF-177"/>
    <x v="134"/>
    <x v="0"/>
    <x v="8"/>
    <x v="1"/>
    <s v="No"/>
    <s v="Y"/>
    <n v="3"/>
    <n v="-2"/>
    <n v="0"/>
    <x v="25"/>
    <n v="0"/>
    <m/>
    <n v="0"/>
    <n v="1"/>
    <n v="1355"/>
    <n v="25"/>
    <x v="1"/>
    <n v="1"/>
    <n v="3"/>
    <n v="61"/>
    <n v="3"/>
    <n v="1"/>
    <n v="2"/>
    <n v="2942"/>
    <n v="8916"/>
    <n v="1"/>
    <n v="23"/>
    <n v="4"/>
    <n v="4"/>
    <n v="80"/>
    <n v="1"/>
    <n v="8"/>
    <n v="3"/>
    <n v="8"/>
    <n v="7"/>
    <n v="5"/>
    <n v="7"/>
  </r>
  <r>
    <s v="No"/>
    <s v="Travel_Rarely"/>
    <x v="0"/>
    <s v="Current Employees"/>
    <x v="1"/>
    <x v="2"/>
    <s v="STAFF-178"/>
    <x v="135"/>
    <x v="1"/>
    <x v="3"/>
    <x v="2"/>
    <s v="No"/>
    <s v="Y"/>
    <n v="0"/>
    <n v="-2"/>
    <n v="0"/>
    <x v="9"/>
    <n v="0"/>
    <m/>
    <n v="0"/>
    <n v="1"/>
    <n v="216"/>
    <n v="6"/>
    <x v="0"/>
    <n v="1"/>
    <n v="2"/>
    <n v="84"/>
    <n v="3"/>
    <n v="2"/>
    <n v="3"/>
    <n v="4941"/>
    <n v="2819"/>
    <n v="6"/>
    <n v="20"/>
    <n v="4"/>
    <n v="4"/>
    <n v="80"/>
    <n v="2"/>
    <n v="7"/>
    <n v="3"/>
    <n v="3"/>
    <n v="2"/>
    <n v="0"/>
    <n v="1"/>
  </r>
  <r>
    <s v="Yes"/>
    <s v="Travel_Frequently"/>
    <x v="1"/>
    <s v="Ex-Employees"/>
    <x v="1"/>
    <x v="0"/>
    <s v="STAFF-179"/>
    <x v="136"/>
    <x v="1"/>
    <x v="3"/>
    <x v="0"/>
    <s v="No"/>
    <s v="Y"/>
    <n v="2"/>
    <n v="-2"/>
    <n v="0"/>
    <x v="31"/>
    <n v="1"/>
    <n v="1"/>
    <n v="1"/>
    <n v="0"/>
    <n v="1150"/>
    <n v="8"/>
    <x v="2"/>
    <n v="1"/>
    <n v="1"/>
    <n v="53"/>
    <n v="1"/>
    <n v="3"/>
    <n v="2"/>
    <n v="10650"/>
    <n v="25150"/>
    <n v="2"/>
    <n v="15"/>
    <n v="3"/>
    <n v="4"/>
    <n v="80"/>
    <n v="0"/>
    <n v="18"/>
    <n v="3"/>
    <n v="4"/>
    <n v="2"/>
    <n v="0"/>
    <n v="3"/>
  </r>
  <r>
    <s v="No"/>
    <s v="Travel_Rarely"/>
    <x v="0"/>
    <s v="Current Employees"/>
    <x v="0"/>
    <x v="0"/>
    <s v="STAFF-182"/>
    <x v="137"/>
    <x v="0"/>
    <x v="0"/>
    <x v="1"/>
    <s v="No"/>
    <s v="Y"/>
    <n v="1"/>
    <n v="-2"/>
    <n v="0"/>
    <x v="22"/>
    <n v="0"/>
    <m/>
    <n v="0"/>
    <n v="1"/>
    <n v="1329"/>
    <n v="4"/>
    <x v="2"/>
    <n v="1"/>
    <n v="4"/>
    <n v="47"/>
    <n v="2"/>
    <n v="2"/>
    <n v="2"/>
    <n v="5902"/>
    <n v="14590"/>
    <n v="4"/>
    <n v="14"/>
    <n v="3"/>
    <n v="3"/>
    <n v="80"/>
    <n v="1"/>
    <n v="17"/>
    <n v="4"/>
    <n v="15"/>
    <n v="11"/>
    <n v="5"/>
    <n v="9"/>
  </r>
  <r>
    <s v="No"/>
    <s v="Travel_Rarely"/>
    <x v="2"/>
    <s v="Current Employees"/>
    <x v="0"/>
    <x v="0"/>
    <s v="STAFF-183"/>
    <x v="138"/>
    <x v="1"/>
    <x v="0"/>
    <x v="1"/>
    <s v="No"/>
    <s v="Y"/>
    <n v="3"/>
    <n v="-2"/>
    <n v="0"/>
    <x v="36"/>
    <n v="0"/>
    <m/>
    <n v="0"/>
    <n v="1"/>
    <n v="959"/>
    <n v="28"/>
    <x v="3"/>
    <n v="1"/>
    <n v="1"/>
    <n v="41"/>
    <n v="2"/>
    <n v="2"/>
    <n v="2"/>
    <n v="8639"/>
    <n v="24835"/>
    <n v="2"/>
    <n v="18"/>
    <n v="3"/>
    <n v="4"/>
    <n v="80"/>
    <n v="0"/>
    <n v="6"/>
    <n v="3"/>
    <n v="2"/>
    <n v="2"/>
    <n v="2"/>
    <n v="2"/>
  </r>
  <r>
    <s v="No"/>
    <s v="Travel_Rarely"/>
    <x v="2"/>
    <s v="Current Employees"/>
    <x v="2"/>
    <x v="5"/>
    <s v="STAFF-184"/>
    <x v="139"/>
    <x v="1"/>
    <x v="8"/>
    <x v="1"/>
    <s v="Yes"/>
    <s v="Y"/>
    <n v="2"/>
    <n v="-2"/>
    <n v="0"/>
    <x v="7"/>
    <n v="0"/>
    <m/>
    <n v="0"/>
    <n v="1"/>
    <n v="1240"/>
    <n v="9"/>
    <x v="3"/>
    <n v="1"/>
    <n v="3"/>
    <n v="48"/>
    <n v="3"/>
    <n v="2"/>
    <n v="4"/>
    <n v="6347"/>
    <n v="13982"/>
    <n v="0"/>
    <n v="19"/>
    <n v="3"/>
    <n v="4"/>
    <n v="80"/>
    <n v="0"/>
    <n v="12"/>
    <n v="1"/>
    <n v="11"/>
    <n v="9"/>
    <n v="4"/>
    <n v="7"/>
  </r>
  <r>
    <s v="Yes"/>
    <s v="Travel_Rarely"/>
    <x v="2"/>
    <s v="Ex-Employees"/>
    <x v="1"/>
    <x v="2"/>
    <s v="STAFF-190"/>
    <x v="140"/>
    <x v="0"/>
    <x v="2"/>
    <x v="0"/>
    <s v="No"/>
    <s v="Y"/>
    <n v="2"/>
    <n v="-2"/>
    <n v="0"/>
    <x v="5"/>
    <n v="1"/>
    <n v="1"/>
    <n v="1"/>
    <n v="0"/>
    <n v="1033"/>
    <n v="9"/>
    <x v="3"/>
    <n v="1"/>
    <n v="1"/>
    <n v="41"/>
    <n v="3"/>
    <n v="1"/>
    <n v="1"/>
    <n v="4200"/>
    <n v="10224"/>
    <n v="7"/>
    <n v="22"/>
    <n v="4"/>
    <n v="1"/>
    <n v="80"/>
    <n v="0"/>
    <n v="10"/>
    <n v="4"/>
    <n v="5"/>
    <n v="4"/>
    <n v="0"/>
    <n v="4"/>
  </r>
  <r>
    <s v="No"/>
    <s v="Travel_Rarely"/>
    <x v="1"/>
    <s v="Current Employees"/>
    <x v="1"/>
    <x v="2"/>
    <s v="STAFF-192"/>
    <x v="141"/>
    <x v="1"/>
    <x v="1"/>
    <x v="0"/>
    <s v="No"/>
    <s v="Y"/>
    <n v="2"/>
    <n v="-2"/>
    <n v="0"/>
    <x v="28"/>
    <n v="0"/>
    <m/>
    <n v="0"/>
    <n v="1"/>
    <n v="1316"/>
    <n v="29"/>
    <x v="3"/>
    <n v="1"/>
    <n v="3"/>
    <n v="83"/>
    <n v="3"/>
    <n v="1"/>
    <n v="4"/>
    <n v="3452"/>
    <n v="9752"/>
    <n v="5"/>
    <n v="13"/>
    <n v="3"/>
    <n v="2"/>
    <n v="80"/>
    <n v="0"/>
    <n v="9"/>
    <n v="2"/>
    <n v="6"/>
    <n v="5"/>
    <n v="0"/>
    <n v="3"/>
  </r>
  <r>
    <s v="No"/>
    <s v="Travel_Rarely"/>
    <x v="0"/>
    <s v="Current Employees"/>
    <x v="1"/>
    <x v="4"/>
    <s v="STAFF-193"/>
    <x v="142"/>
    <x v="0"/>
    <x v="1"/>
    <x v="0"/>
    <s v="Yes"/>
    <s v="Y"/>
    <n v="2"/>
    <n v="-2"/>
    <n v="0"/>
    <x v="8"/>
    <n v="0"/>
    <m/>
    <n v="0"/>
    <n v="1"/>
    <n v="364"/>
    <n v="3"/>
    <x v="4"/>
    <n v="1"/>
    <n v="4"/>
    <n v="32"/>
    <n v="3"/>
    <n v="2"/>
    <n v="3"/>
    <n v="4317"/>
    <n v="2302"/>
    <n v="3"/>
    <n v="20"/>
    <n v="4"/>
    <n v="2"/>
    <n v="80"/>
    <n v="0"/>
    <n v="19"/>
    <n v="3"/>
    <n v="3"/>
    <n v="2"/>
    <n v="2"/>
    <n v="2"/>
  </r>
  <r>
    <s v="No"/>
    <s v="Travel_Rarely"/>
    <x v="2"/>
    <s v="Current Employees"/>
    <x v="1"/>
    <x v="0"/>
    <s v="STAFF-194"/>
    <x v="143"/>
    <x v="0"/>
    <x v="1"/>
    <x v="0"/>
    <s v="No"/>
    <s v="Y"/>
    <n v="4"/>
    <n v="-2"/>
    <n v="0"/>
    <x v="7"/>
    <n v="0"/>
    <m/>
    <n v="0"/>
    <n v="1"/>
    <n v="438"/>
    <n v="18"/>
    <x v="3"/>
    <n v="1"/>
    <n v="1"/>
    <n v="75"/>
    <n v="3"/>
    <n v="1"/>
    <n v="2"/>
    <n v="2632"/>
    <n v="23910"/>
    <n v="1"/>
    <n v="14"/>
    <n v="3"/>
    <n v="3"/>
    <n v="80"/>
    <n v="0"/>
    <n v="5"/>
    <n v="2"/>
    <n v="5"/>
    <n v="4"/>
    <n v="0"/>
    <n v="4"/>
  </r>
  <r>
    <s v="No"/>
    <s v="Travel_Frequently"/>
    <x v="2"/>
    <s v="Current Employees"/>
    <x v="0"/>
    <x v="2"/>
    <s v="STAFF-195"/>
    <x v="144"/>
    <x v="1"/>
    <x v="0"/>
    <x v="2"/>
    <s v="No"/>
    <s v="Y"/>
    <n v="2"/>
    <n v="-2"/>
    <n v="0"/>
    <x v="5"/>
    <n v="0"/>
    <m/>
    <n v="0"/>
    <n v="1"/>
    <n v="689"/>
    <n v="9"/>
    <x v="0"/>
    <n v="1"/>
    <n v="4"/>
    <n v="35"/>
    <n v="1"/>
    <n v="2"/>
    <n v="4"/>
    <n v="4668"/>
    <n v="22812"/>
    <n v="0"/>
    <n v="17"/>
    <n v="3"/>
    <n v="4"/>
    <n v="80"/>
    <n v="3"/>
    <n v="9"/>
    <n v="4"/>
    <n v="8"/>
    <n v="7"/>
    <n v="0"/>
    <n v="7"/>
  </r>
  <r>
    <s v="No"/>
    <s v="Travel_Rarely"/>
    <x v="2"/>
    <s v="Current Employees"/>
    <x v="1"/>
    <x v="4"/>
    <s v="STAFF-197"/>
    <x v="145"/>
    <x v="0"/>
    <x v="1"/>
    <x v="2"/>
    <s v="No"/>
    <s v="Y"/>
    <n v="3"/>
    <n v="-2"/>
    <n v="0"/>
    <x v="7"/>
    <n v="0"/>
    <m/>
    <n v="0"/>
    <n v="1"/>
    <n v="201"/>
    <n v="5"/>
    <x v="3"/>
    <n v="1"/>
    <n v="4"/>
    <n v="84"/>
    <n v="3"/>
    <n v="1"/>
    <n v="4"/>
    <n v="3204"/>
    <n v="10415"/>
    <n v="5"/>
    <n v="14"/>
    <n v="3"/>
    <n v="4"/>
    <n v="80"/>
    <n v="1"/>
    <n v="8"/>
    <n v="3"/>
    <n v="3"/>
    <n v="2"/>
    <n v="2"/>
    <n v="2"/>
  </r>
  <r>
    <s v="No"/>
    <s v="Travel_Rarely"/>
    <x v="2"/>
    <s v="Current Employees"/>
    <x v="1"/>
    <x v="2"/>
    <s v="STAFF-198"/>
    <x v="146"/>
    <x v="1"/>
    <x v="2"/>
    <x v="0"/>
    <s v="No"/>
    <s v="Y"/>
    <n v="3"/>
    <n v="-2"/>
    <n v="0"/>
    <x v="7"/>
    <n v="0"/>
    <m/>
    <n v="0"/>
    <n v="1"/>
    <n v="1427"/>
    <n v="2"/>
    <x v="1"/>
    <n v="1"/>
    <n v="2"/>
    <n v="35"/>
    <n v="2"/>
    <n v="1"/>
    <n v="4"/>
    <n v="2720"/>
    <n v="11162"/>
    <n v="0"/>
    <n v="13"/>
    <n v="3"/>
    <n v="4"/>
    <n v="80"/>
    <n v="0"/>
    <n v="6"/>
    <n v="3"/>
    <n v="5"/>
    <n v="3"/>
    <n v="1"/>
    <n v="2"/>
  </r>
  <r>
    <s v="No"/>
    <s v="Travel_Frequently"/>
    <x v="0"/>
    <s v="Current Employees"/>
    <x v="1"/>
    <x v="0"/>
    <s v="STAFF-199"/>
    <x v="147"/>
    <x v="1"/>
    <x v="5"/>
    <x v="2"/>
    <s v="No"/>
    <s v="Y"/>
    <n v="2"/>
    <n v="-2"/>
    <n v="0"/>
    <x v="0"/>
    <n v="0"/>
    <m/>
    <n v="0"/>
    <n v="1"/>
    <n v="857"/>
    <n v="10"/>
    <x v="3"/>
    <n v="1"/>
    <n v="4"/>
    <n v="91"/>
    <n v="2"/>
    <n v="4"/>
    <n v="2"/>
    <n v="17181"/>
    <n v="12888"/>
    <n v="4"/>
    <n v="13"/>
    <n v="3"/>
    <n v="2"/>
    <n v="80"/>
    <n v="1"/>
    <n v="21"/>
    <n v="2"/>
    <n v="7"/>
    <n v="6"/>
    <n v="7"/>
    <n v="7"/>
  </r>
  <r>
    <s v="No"/>
    <s v="Travel_Rarely"/>
    <x v="0"/>
    <s v="Current Employees"/>
    <x v="1"/>
    <x v="0"/>
    <s v="STAFF-200"/>
    <x v="148"/>
    <x v="1"/>
    <x v="2"/>
    <x v="1"/>
    <s v="No"/>
    <s v="Y"/>
    <n v="2"/>
    <n v="-2"/>
    <n v="0"/>
    <x v="0"/>
    <n v="0"/>
    <m/>
    <n v="0"/>
    <n v="1"/>
    <n v="933"/>
    <n v="9"/>
    <x v="2"/>
    <n v="1"/>
    <n v="3"/>
    <n v="94"/>
    <n v="3"/>
    <n v="1"/>
    <n v="2"/>
    <n v="2238"/>
    <n v="6961"/>
    <n v="2"/>
    <n v="21"/>
    <n v="4"/>
    <n v="4"/>
    <n v="80"/>
    <n v="1"/>
    <n v="7"/>
    <n v="3"/>
    <n v="5"/>
    <n v="0"/>
    <n v="1"/>
    <n v="4"/>
  </r>
  <r>
    <s v="No"/>
    <s v="Travel_Rarely"/>
    <x v="4"/>
    <s v="Current Employees"/>
    <x v="1"/>
    <x v="2"/>
    <s v="STAFF-201"/>
    <x v="149"/>
    <x v="0"/>
    <x v="2"/>
    <x v="0"/>
    <s v="No"/>
    <s v="Y"/>
    <n v="3"/>
    <n v="-2"/>
    <n v="0"/>
    <x v="37"/>
    <n v="0"/>
    <m/>
    <n v="0"/>
    <n v="1"/>
    <n v="1181"/>
    <n v="3"/>
    <x v="1"/>
    <n v="1"/>
    <n v="2"/>
    <n v="79"/>
    <n v="3"/>
    <n v="1"/>
    <n v="3"/>
    <n v="1483"/>
    <n v="16102"/>
    <n v="1"/>
    <n v="14"/>
    <n v="3"/>
    <n v="4"/>
    <n v="80"/>
    <n v="0"/>
    <n v="1"/>
    <n v="3"/>
    <n v="1"/>
    <n v="0"/>
    <n v="0"/>
    <n v="0"/>
  </r>
  <r>
    <s v="No"/>
    <s v="Travel_Frequently"/>
    <x v="0"/>
    <s v="Current Employees"/>
    <x v="1"/>
    <x v="2"/>
    <s v="STAFF-202"/>
    <x v="150"/>
    <x v="0"/>
    <x v="1"/>
    <x v="2"/>
    <s v="No"/>
    <s v="Y"/>
    <n v="2"/>
    <n v="-2"/>
    <n v="0"/>
    <x v="32"/>
    <n v="0"/>
    <m/>
    <n v="0"/>
    <n v="1"/>
    <n v="1395"/>
    <n v="26"/>
    <x v="3"/>
    <n v="1"/>
    <n v="2"/>
    <n v="54"/>
    <n v="3"/>
    <n v="2"/>
    <n v="3"/>
    <n v="5605"/>
    <n v="8504"/>
    <n v="1"/>
    <n v="11"/>
    <n v="3"/>
    <n v="1"/>
    <n v="80"/>
    <n v="1"/>
    <n v="20"/>
    <n v="3"/>
    <n v="20"/>
    <n v="7"/>
    <n v="2"/>
    <n v="13"/>
  </r>
  <r>
    <s v="No"/>
    <s v="Travel_Rarely"/>
    <x v="0"/>
    <s v="Current Employees"/>
    <x v="0"/>
    <x v="3"/>
    <s v="STAFF-204"/>
    <x v="151"/>
    <x v="1"/>
    <x v="0"/>
    <x v="1"/>
    <s v="No"/>
    <s v="Y"/>
    <n v="3"/>
    <n v="-2"/>
    <n v="0"/>
    <x v="10"/>
    <n v="0"/>
    <m/>
    <n v="0"/>
    <n v="1"/>
    <n v="662"/>
    <n v="1"/>
    <x v="4"/>
    <n v="1"/>
    <n v="3"/>
    <n v="94"/>
    <n v="3"/>
    <n v="3"/>
    <n v="3"/>
    <n v="7295"/>
    <n v="11439"/>
    <n v="1"/>
    <n v="13"/>
    <n v="3"/>
    <n v="1"/>
    <n v="80"/>
    <n v="2"/>
    <n v="10"/>
    <n v="3"/>
    <n v="10"/>
    <n v="8"/>
    <n v="0"/>
    <n v="6"/>
  </r>
  <r>
    <s v="No"/>
    <s v="Travel_Rarely"/>
    <x v="1"/>
    <s v="Current Employees"/>
    <x v="0"/>
    <x v="3"/>
    <s v="STAFF-205"/>
    <x v="152"/>
    <x v="1"/>
    <x v="6"/>
    <x v="1"/>
    <s v="Yes"/>
    <s v="Y"/>
    <n v="3"/>
    <n v="-2"/>
    <n v="0"/>
    <x v="16"/>
    <n v="0"/>
    <m/>
    <n v="0"/>
    <n v="1"/>
    <n v="1436"/>
    <n v="6"/>
    <x v="0"/>
    <n v="1"/>
    <n v="2"/>
    <n v="34"/>
    <n v="3"/>
    <n v="2"/>
    <n v="3"/>
    <n v="2306"/>
    <n v="16047"/>
    <n v="2"/>
    <n v="20"/>
    <n v="4"/>
    <n v="4"/>
    <n v="80"/>
    <n v="1"/>
    <n v="13"/>
    <n v="1"/>
    <n v="7"/>
    <n v="7"/>
    <n v="4"/>
    <n v="5"/>
  </r>
  <r>
    <s v="No"/>
    <s v="Travel_Rarely"/>
    <x v="1"/>
    <s v="Current Employees"/>
    <x v="1"/>
    <x v="0"/>
    <s v="STAFF-206"/>
    <x v="153"/>
    <x v="1"/>
    <x v="2"/>
    <x v="2"/>
    <s v="No"/>
    <s v="Y"/>
    <n v="2"/>
    <n v="-2"/>
    <n v="0"/>
    <x v="28"/>
    <n v="0"/>
    <m/>
    <n v="0"/>
    <n v="1"/>
    <n v="194"/>
    <n v="9"/>
    <x v="3"/>
    <n v="1"/>
    <n v="2"/>
    <n v="60"/>
    <n v="3"/>
    <n v="2"/>
    <n v="2"/>
    <n v="2348"/>
    <n v="10901"/>
    <n v="8"/>
    <n v="18"/>
    <n v="3"/>
    <n v="3"/>
    <n v="80"/>
    <n v="1"/>
    <n v="20"/>
    <n v="1"/>
    <n v="17"/>
    <n v="9"/>
    <n v="0"/>
    <n v="15"/>
  </r>
  <r>
    <s v="No"/>
    <s v="Travel_Frequently"/>
    <x v="2"/>
    <s v="Current Employees"/>
    <x v="0"/>
    <x v="3"/>
    <s v="STAFF-207"/>
    <x v="154"/>
    <x v="0"/>
    <x v="0"/>
    <x v="0"/>
    <s v="No"/>
    <s v="Y"/>
    <n v="2"/>
    <n v="-2"/>
    <n v="0"/>
    <x v="5"/>
    <n v="0"/>
    <m/>
    <n v="0"/>
    <n v="1"/>
    <n v="967"/>
    <n v="8"/>
    <x v="3"/>
    <n v="1"/>
    <n v="2"/>
    <n v="43"/>
    <n v="3"/>
    <n v="3"/>
    <n v="4"/>
    <n v="8998"/>
    <n v="15589"/>
    <n v="1"/>
    <n v="14"/>
    <n v="3"/>
    <n v="4"/>
    <n v="80"/>
    <n v="0"/>
    <n v="9"/>
    <n v="3"/>
    <n v="9"/>
    <n v="8"/>
    <n v="3"/>
    <n v="7"/>
  </r>
  <r>
    <s v="No"/>
    <s v="Non-Travel"/>
    <x v="2"/>
    <s v="Current Employees"/>
    <x v="1"/>
    <x v="4"/>
    <s v="STAFF-208"/>
    <x v="155"/>
    <x v="1"/>
    <x v="3"/>
    <x v="1"/>
    <s v="No"/>
    <s v="Y"/>
    <n v="1"/>
    <n v="-2"/>
    <n v="0"/>
    <x v="11"/>
    <n v="0"/>
    <m/>
    <n v="0"/>
    <n v="1"/>
    <n v="1496"/>
    <n v="1"/>
    <x v="1"/>
    <n v="1"/>
    <n v="4"/>
    <n v="41"/>
    <n v="3"/>
    <n v="2"/>
    <n v="4"/>
    <n v="4319"/>
    <n v="26283"/>
    <n v="1"/>
    <n v="13"/>
    <n v="3"/>
    <n v="1"/>
    <n v="80"/>
    <n v="1"/>
    <n v="10"/>
    <n v="3"/>
    <n v="10"/>
    <n v="7"/>
    <n v="0"/>
    <n v="9"/>
  </r>
  <r>
    <s v="No"/>
    <s v="Travel_Rarely"/>
    <x v="1"/>
    <s v="Current Employees"/>
    <x v="1"/>
    <x v="2"/>
    <s v="STAFF-211"/>
    <x v="156"/>
    <x v="1"/>
    <x v="3"/>
    <x v="1"/>
    <s v="No"/>
    <s v="Y"/>
    <n v="2"/>
    <n v="-2"/>
    <n v="0"/>
    <x v="31"/>
    <n v="0"/>
    <m/>
    <n v="0"/>
    <n v="1"/>
    <n v="1169"/>
    <n v="7"/>
    <x v="2"/>
    <n v="1"/>
    <n v="2"/>
    <n v="34"/>
    <n v="2"/>
    <n v="2"/>
    <n v="3"/>
    <n v="6132"/>
    <n v="13983"/>
    <n v="2"/>
    <n v="17"/>
    <n v="3"/>
    <n v="3"/>
    <n v="80"/>
    <n v="0"/>
    <n v="10"/>
    <n v="3"/>
    <n v="1"/>
    <n v="0"/>
    <n v="0"/>
    <n v="0"/>
  </r>
  <r>
    <s v="No"/>
    <s v="Travel_Rarely"/>
    <x v="3"/>
    <s v="Current Employees"/>
    <x v="1"/>
    <x v="2"/>
    <s v="STAFF-214"/>
    <x v="157"/>
    <x v="0"/>
    <x v="1"/>
    <x v="1"/>
    <s v="Yes"/>
    <s v="Y"/>
    <n v="3"/>
    <n v="-2"/>
    <n v="0"/>
    <x v="34"/>
    <n v="0"/>
    <m/>
    <n v="0"/>
    <n v="1"/>
    <n v="1145"/>
    <n v="9"/>
    <x v="3"/>
    <n v="1"/>
    <n v="2"/>
    <n v="75"/>
    <n v="2"/>
    <n v="1"/>
    <n v="3"/>
    <n v="3346"/>
    <n v="11873"/>
    <n v="4"/>
    <n v="20"/>
    <n v="4"/>
    <n v="2"/>
    <n v="80"/>
    <n v="1"/>
    <n v="9"/>
    <n v="2"/>
    <n v="1"/>
    <n v="0"/>
    <n v="0"/>
    <n v="0"/>
  </r>
  <r>
    <s v="No"/>
    <s v="Travel_Rarely"/>
    <x v="0"/>
    <s v="Current Employees"/>
    <x v="0"/>
    <x v="3"/>
    <s v="STAFF-215"/>
    <x v="158"/>
    <x v="1"/>
    <x v="0"/>
    <x v="1"/>
    <s v="No"/>
    <s v="Y"/>
    <n v="2"/>
    <n v="-2"/>
    <n v="0"/>
    <x v="32"/>
    <n v="0"/>
    <m/>
    <n v="0"/>
    <n v="1"/>
    <n v="630"/>
    <n v="4"/>
    <x v="2"/>
    <n v="1"/>
    <n v="3"/>
    <n v="67"/>
    <n v="2"/>
    <n v="3"/>
    <n v="4"/>
    <n v="10855"/>
    <n v="8552"/>
    <n v="7"/>
    <n v="11"/>
    <n v="3"/>
    <n v="1"/>
    <n v="80"/>
    <n v="1"/>
    <n v="15"/>
    <n v="2"/>
    <n v="12"/>
    <n v="11"/>
    <n v="2"/>
    <n v="11"/>
  </r>
  <r>
    <s v="No"/>
    <s v="Travel_Frequently"/>
    <x v="2"/>
    <s v="Current Employees"/>
    <x v="0"/>
    <x v="3"/>
    <s v="STAFF-216"/>
    <x v="159"/>
    <x v="0"/>
    <x v="6"/>
    <x v="1"/>
    <s v="No"/>
    <s v="Y"/>
    <n v="3"/>
    <n v="-2"/>
    <n v="0"/>
    <x v="13"/>
    <n v="0"/>
    <m/>
    <n v="0"/>
    <n v="1"/>
    <n v="303"/>
    <n v="2"/>
    <x v="2"/>
    <n v="1"/>
    <n v="3"/>
    <n v="75"/>
    <n v="3"/>
    <n v="1"/>
    <n v="3"/>
    <n v="2231"/>
    <n v="11314"/>
    <n v="6"/>
    <n v="18"/>
    <n v="3"/>
    <n v="4"/>
    <n v="80"/>
    <n v="1"/>
    <n v="6"/>
    <n v="3"/>
    <n v="4"/>
    <n v="3"/>
    <n v="1"/>
    <n v="2"/>
  </r>
  <r>
    <s v="No"/>
    <s v="Travel_Rarely"/>
    <x v="4"/>
    <s v="Current Employees"/>
    <x v="1"/>
    <x v="2"/>
    <s v="STAFF-217"/>
    <x v="160"/>
    <x v="1"/>
    <x v="1"/>
    <x v="1"/>
    <s v="No"/>
    <s v="Y"/>
    <n v="6"/>
    <n v="-2"/>
    <n v="0"/>
    <x v="15"/>
    <n v="0"/>
    <m/>
    <n v="0"/>
    <n v="1"/>
    <n v="1256"/>
    <n v="19"/>
    <x v="1"/>
    <n v="1"/>
    <n v="3"/>
    <n v="80"/>
    <n v="3"/>
    <n v="1"/>
    <n v="4"/>
    <n v="2323"/>
    <n v="11992"/>
    <n v="1"/>
    <n v="24"/>
    <n v="4"/>
    <n v="1"/>
    <n v="80"/>
    <n v="2"/>
    <n v="2"/>
    <n v="3"/>
    <n v="2"/>
    <n v="2"/>
    <n v="2"/>
    <n v="2"/>
  </r>
  <r>
    <s v="No"/>
    <s v="Non-Travel"/>
    <x v="2"/>
    <s v="Current Employees"/>
    <x v="1"/>
    <x v="2"/>
    <s v="STAFF-218"/>
    <x v="161"/>
    <x v="1"/>
    <x v="1"/>
    <x v="2"/>
    <s v="No"/>
    <s v="Y"/>
    <n v="1"/>
    <n v="-2"/>
    <n v="0"/>
    <x v="4"/>
    <n v="0"/>
    <m/>
    <n v="0"/>
    <n v="1"/>
    <n v="691"/>
    <n v="9"/>
    <x v="3"/>
    <n v="1"/>
    <n v="4"/>
    <n v="57"/>
    <n v="3"/>
    <n v="1"/>
    <n v="3"/>
    <n v="2024"/>
    <n v="5970"/>
    <n v="6"/>
    <n v="18"/>
    <n v="3"/>
    <n v="4"/>
    <n v="80"/>
    <n v="1"/>
    <n v="6"/>
    <n v="1"/>
    <n v="2"/>
    <n v="2"/>
    <n v="2"/>
    <n v="2"/>
  </r>
  <r>
    <s v="No"/>
    <s v="Travel_Rarely"/>
    <x v="2"/>
    <s v="Current Employees"/>
    <x v="1"/>
    <x v="2"/>
    <s v="STAFF-221"/>
    <x v="162"/>
    <x v="1"/>
    <x v="1"/>
    <x v="1"/>
    <s v="No"/>
    <s v="Y"/>
    <n v="2"/>
    <n v="-2"/>
    <n v="0"/>
    <x v="14"/>
    <n v="0"/>
    <m/>
    <n v="0"/>
    <n v="1"/>
    <n v="440"/>
    <n v="21"/>
    <x v="3"/>
    <n v="1"/>
    <n v="3"/>
    <n v="42"/>
    <n v="3"/>
    <n v="1"/>
    <n v="4"/>
    <n v="2713"/>
    <n v="6672"/>
    <n v="1"/>
    <n v="11"/>
    <n v="3"/>
    <n v="3"/>
    <n v="80"/>
    <n v="1"/>
    <n v="5"/>
    <n v="1"/>
    <n v="5"/>
    <n v="2"/>
    <n v="0"/>
    <n v="2"/>
  </r>
  <r>
    <s v="No"/>
    <s v="Travel_Rarely"/>
    <x v="3"/>
    <s v="Current Employees"/>
    <x v="1"/>
    <x v="0"/>
    <s v="STAFF-223"/>
    <x v="163"/>
    <x v="1"/>
    <x v="4"/>
    <x v="2"/>
    <s v="Yes"/>
    <s v="Y"/>
    <n v="2"/>
    <n v="-2"/>
    <n v="0"/>
    <x v="38"/>
    <n v="0"/>
    <m/>
    <n v="0"/>
    <n v="1"/>
    <n v="334"/>
    <n v="24"/>
    <x v="0"/>
    <n v="1"/>
    <n v="3"/>
    <n v="83"/>
    <n v="4"/>
    <n v="3"/>
    <n v="2"/>
    <n v="9439"/>
    <n v="23402"/>
    <n v="3"/>
    <n v="16"/>
    <n v="3"/>
    <n v="2"/>
    <n v="80"/>
    <n v="1"/>
    <n v="12"/>
    <n v="1"/>
    <n v="5"/>
    <n v="3"/>
    <n v="1"/>
    <n v="4"/>
  </r>
  <r>
    <s v="No"/>
    <s v="Non-Travel"/>
    <x v="2"/>
    <s v="Current Employees"/>
    <x v="1"/>
    <x v="2"/>
    <s v="STAFF-224"/>
    <x v="164"/>
    <x v="1"/>
    <x v="1"/>
    <x v="2"/>
    <s v="Yes"/>
    <s v="Y"/>
    <n v="2"/>
    <n v="-2"/>
    <n v="0"/>
    <x v="4"/>
    <n v="0"/>
    <m/>
    <n v="0"/>
    <n v="1"/>
    <n v="1450"/>
    <n v="3"/>
    <x v="3"/>
    <n v="1"/>
    <n v="3"/>
    <n v="79"/>
    <n v="2"/>
    <n v="1"/>
    <n v="3"/>
    <n v="2566"/>
    <n v="25326"/>
    <n v="1"/>
    <n v="15"/>
    <n v="3"/>
    <n v="4"/>
    <n v="80"/>
    <n v="1"/>
    <n v="1"/>
    <n v="2"/>
    <n v="1"/>
    <n v="1"/>
    <n v="0"/>
    <n v="1"/>
  </r>
  <r>
    <s v="No"/>
    <s v="Travel_Rarely"/>
    <x v="1"/>
    <s v="Current Employees"/>
    <x v="1"/>
    <x v="0"/>
    <s v="STAFF-226"/>
    <x v="165"/>
    <x v="0"/>
    <x v="5"/>
    <x v="0"/>
    <s v="No"/>
    <s v="Y"/>
    <n v="5"/>
    <n v="-2"/>
    <n v="0"/>
    <x v="24"/>
    <n v="0"/>
    <m/>
    <n v="0"/>
    <n v="1"/>
    <n v="1452"/>
    <n v="11"/>
    <x v="3"/>
    <n v="1"/>
    <n v="3"/>
    <n v="53"/>
    <n v="3"/>
    <n v="5"/>
    <n v="2"/>
    <n v="19926"/>
    <n v="17053"/>
    <n v="3"/>
    <n v="15"/>
    <n v="3"/>
    <n v="2"/>
    <n v="80"/>
    <n v="0"/>
    <n v="21"/>
    <n v="3"/>
    <n v="5"/>
    <n v="4"/>
    <n v="4"/>
    <n v="4"/>
  </r>
  <r>
    <s v="No"/>
    <s v="Travel_Rarely"/>
    <x v="0"/>
    <s v="Current Employees"/>
    <x v="1"/>
    <x v="0"/>
    <s v="STAFF-227"/>
    <x v="166"/>
    <x v="1"/>
    <x v="1"/>
    <x v="2"/>
    <s v="No"/>
    <s v="Y"/>
    <n v="2"/>
    <n v="-2"/>
    <n v="0"/>
    <x v="0"/>
    <n v="0"/>
    <m/>
    <n v="0"/>
    <n v="1"/>
    <n v="465"/>
    <n v="14"/>
    <x v="3"/>
    <n v="1"/>
    <n v="1"/>
    <n v="56"/>
    <n v="3"/>
    <n v="1"/>
    <n v="2"/>
    <n v="2451"/>
    <n v="4609"/>
    <n v="4"/>
    <n v="12"/>
    <n v="3"/>
    <n v="1"/>
    <n v="80"/>
    <n v="1"/>
    <n v="13"/>
    <n v="3"/>
    <n v="9"/>
    <n v="8"/>
    <n v="1"/>
    <n v="8"/>
  </r>
  <r>
    <s v="No"/>
    <s v="Travel_Rarely"/>
    <x v="2"/>
    <s v="Current Employees"/>
    <x v="0"/>
    <x v="0"/>
    <s v="STAFF-228"/>
    <x v="167"/>
    <x v="0"/>
    <x v="0"/>
    <x v="1"/>
    <s v="No"/>
    <s v="Y"/>
    <n v="2"/>
    <n v="-2"/>
    <n v="0"/>
    <x v="7"/>
    <n v="0"/>
    <m/>
    <n v="0"/>
    <n v="1"/>
    <n v="1339"/>
    <n v="5"/>
    <x v="3"/>
    <n v="1"/>
    <n v="2"/>
    <n v="41"/>
    <n v="3"/>
    <n v="3"/>
    <n v="2"/>
    <n v="9419"/>
    <n v="8053"/>
    <n v="2"/>
    <n v="12"/>
    <n v="3"/>
    <n v="3"/>
    <n v="80"/>
    <n v="1"/>
    <n v="12"/>
    <n v="3"/>
    <n v="10"/>
    <n v="9"/>
    <n v="7"/>
    <n v="4"/>
  </r>
  <r>
    <s v="No"/>
    <s v="Travel_Rarely"/>
    <x v="0"/>
    <s v="Current Employees"/>
    <x v="0"/>
    <x v="0"/>
    <s v="STAFF-230"/>
    <x v="168"/>
    <x v="0"/>
    <x v="0"/>
    <x v="0"/>
    <s v="No"/>
    <s v="Y"/>
    <n v="2"/>
    <n v="-2"/>
    <n v="0"/>
    <x v="8"/>
    <n v="0"/>
    <m/>
    <n v="0"/>
    <n v="1"/>
    <n v="702"/>
    <n v="1"/>
    <x v="2"/>
    <n v="1"/>
    <n v="1"/>
    <n v="59"/>
    <n v="2"/>
    <n v="2"/>
    <n v="2"/>
    <n v="8686"/>
    <n v="12930"/>
    <n v="4"/>
    <n v="22"/>
    <n v="4"/>
    <n v="3"/>
    <n v="80"/>
    <n v="0"/>
    <n v="12"/>
    <n v="4"/>
    <n v="8"/>
    <n v="3"/>
    <n v="0"/>
    <n v="7"/>
  </r>
  <r>
    <s v="No"/>
    <s v="Travel_Rarely"/>
    <x v="2"/>
    <s v="Current Employees"/>
    <x v="1"/>
    <x v="0"/>
    <s v="STAFF-231"/>
    <x v="169"/>
    <x v="1"/>
    <x v="1"/>
    <x v="0"/>
    <s v="No"/>
    <s v="Y"/>
    <n v="2"/>
    <n v="-2"/>
    <n v="0"/>
    <x v="5"/>
    <n v="0"/>
    <m/>
    <n v="0"/>
    <n v="1"/>
    <n v="120"/>
    <n v="6"/>
    <x v="4"/>
    <n v="1"/>
    <n v="3"/>
    <n v="43"/>
    <n v="3"/>
    <n v="1"/>
    <n v="2"/>
    <n v="3038"/>
    <n v="12430"/>
    <n v="3"/>
    <n v="20"/>
    <n v="4"/>
    <n v="1"/>
    <n v="80"/>
    <n v="0"/>
    <n v="8"/>
    <n v="3"/>
    <n v="5"/>
    <n v="4"/>
    <n v="1"/>
    <n v="4"/>
  </r>
  <r>
    <s v="No"/>
    <s v="Travel_Rarely"/>
    <x v="2"/>
    <s v="Current Employees"/>
    <x v="1"/>
    <x v="4"/>
    <s v="STAFF-233"/>
    <x v="170"/>
    <x v="1"/>
    <x v="1"/>
    <x v="1"/>
    <s v="Yes"/>
    <s v="Y"/>
    <n v="3"/>
    <n v="-2"/>
    <n v="0"/>
    <x v="4"/>
    <n v="0"/>
    <m/>
    <n v="0"/>
    <n v="1"/>
    <n v="1157"/>
    <n v="17"/>
    <x v="3"/>
    <n v="1"/>
    <n v="3"/>
    <n v="51"/>
    <n v="3"/>
    <n v="1"/>
    <n v="4"/>
    <n v="3058"/>
    <n v="13364"/>
    <n v="0"/>
    <n v="16"/>
    <n v="3"/>
    <n v="4"/>
    <n v="80"/>
    <n v="1"/>
    <n v="6"/>
    <n v="2"/>
    <n v="5"/>
    <n v="2"/>
    <n v="1"/>
    <n v="1"/>
  </r>
  <r>
    <s v="Yes"/>
    <s v="Travel_Frequently"/>
    <x v="4"/>
    <s v="Ex-Employees"/>
    <x v="0"/>
    <x v="4"/>
    <s v="STAFF-235"/>
    <x v="171"/>
    <x v="0"/>
    <x v="6"/>
    <x v="0"/>
    <s v="No"/>
    <s v="Y"/>
    <n v="5"/>
    <n v="-2"/>
    <n v="0"/>
    <x v="37"/>
    <n v="1"/>
    <n v="1"/>
    <n v="1"/>
    <n v="0"/>
    <n v="602"/>
    <n v="1"/>
    <x v="1"/>
    <n v="1"/>
    <n v="3"/>
    <n v="100"/>
    <n v="1"/>
    <n v="1"/>
    <n v="4"/>
    <n v="2325"/>
    <n v="20989"/>
    <n v="0"/>
    <n v="21"/>
    <n v="4"/>
    <n v="1"/>
    <n v="80"/>
    <n v="0"/>
    <n v="1"/>
    <n v="4"/>
    <n v="0"/>
    <n v="0"/>
    <n v="0"/>
    <n v="0"/>
  </r>
  <r>
    <s v="No"/>
    <s v="Travel_Frequently"/>
    <x v="0"/>
    <s v="Current Employees"/>
    <x v="1"/>
    <x v="2"/>
    <s v="STAFF-238"/>
    <x v="172"/>
    <x v="1"/>
    <x v="2"/>
    <x v="0"/>
    <s v="No"/>
    <s v="Y"/>
    <n v="3"/>
    <n v="-2"/>
    <n v="0"/>
    <x v="9"/>
    <n v="0"/>
    <m/>
    <n v="0"/>
    <n v="1"/>
    <n v="1480"/>
    <n v="3"/>
    <x v="0"/>
    <n v="1"/>
    <n v="4"/>
    <n v="30"/>
    <n v="3"/>
    <n v="1"/>
    <n v="3"/>
    <n v="2088"/>
    <n v="15062"/>
    <n v="4"/>
    <n v="12"/>
    <n v="3"/>
    <n v="3"/>
    <n v="80"/>
    <n v="0"/>
    <n v="13"/>
    <n v="2"/>
    <n v="8"/>
    <n v="7"/>
    <n v="7"/>
    <n v="2"/>
  </r>
  <r>
    <s v="No"/>
    <s v="Non-Travel"/>
    <x v="2"/>
    <s v="Current Employees"/>
    <x v="1"/>
    <x v="2"/>
    <s v="STAFF-239"/>
    <x v="173"/>
    <x v="1"/>
    <x v="2"/>
    <x v="2"/>
    <s v="No"/>
    <s v="Y"/>
    <n v="4"/>
    <n v="-2"/>
    <n v="0"/>
    <x v="7"/>
    <n v="0"/>
    <m/>
    <n v="0"/>
    <n v="1"/>
    <n v="111"/>
    <n v="9"/>
    <x v="3"/>
    <n v="1"/>
    <n v="3"/>
    <n v="66"/>
    <n v="3"/>
    <n v="2"/>
    <n v="1"/>
    <n v="3072"/>
    <n v="11012"/>
    <n v="1"/>
    <n v="11"/>
    <n v="3"/>
    <n v="3"/>
    <n v="80"/>
    <n v="2"/>
    <n v="12"/>
    <n v="3"/>
    <n v="12"/>
    <n v="9"/>
    <n v="6"/>
    <n v="10"/>
  </r>
  <r>
    <s v="No"/>
    <s v="Travel_Rarely"/>
    <x v="1"/>
    <s v="Current Employees"/>
    <x v="0"/>
    <x v="0"/>
    <s v="STAFF-240"/>
    <x v="174"/>
    <x v="0"/>
    <x v="0"/>
    <x v="2"/>
    <s v="Yes"/>
    <s v="Y"/>
    <n v="3"/>
    <n v="-2"/>
    <n v="0"/>
    <x v="28"/>
    <n v="0"/>
    <m/>
    <n v="0"/>
    <n v="1"/>
    <n v="1268"/>
    <n v="4"/>
    <x v="0"/>
    <n v="1"/>
    <n v="3"/>
    <n v="30"/>
    <n v="3"/>
    <n v="2"/>
    <n v="2"/>
    <n v="5006"/>
    <n v="6319"/>
    <n v="4"/>
    <n v="11"/>
    <n v="3"/>
    <n v="1"/>
    <n v="80"/>
    <n v="1"/>
    <n v="9"/>
    <n v="4"/>
    <n v="5"/>
    <n v="4"/>
    <n v="0"/>
    <n v="3"/>
  </r>
  <r>
    <s v="No"/>
    <s v="Travel_Rarely"/>
    <x v="3"/>
    <s v="Current Employees"/>
    <x v="1"/>
    <x v="0"/>
    <s v="STAFF-241"/>
    <x v="175"/>
    <x v="0"/>
    <x v="1"/>
    <x v="2"/>
    <s v="Yes"/>
    <s v="Y"/>
    <n v="3"/>
    <n v="-2"/>
    <n v="0"/>
    <x v="29"/>
    <n v="0"/>
    <m/>
    <n v="0"/>
    <n v="1"/>
    <n v="713"/>
    <n v="8"/>
    <x v="3"/>
    <n v="1"/>
    <n v="3"/>
    <n v="67"/>
    <n v="3"/>
    <n v="1"/>
    <n v="2"/>
    <n v="4257"/>
    <n v="13939"/>
    <n v="4"/>
    <n v="18"/>
    <n v="3"/>
    <n v="3"/>
    <n v="80"/>
    <n v="1"/>
    <n v="19"/>
    <n v="3"/>
    <n v="2"/>
    <n v="2"/>
    <n v="2"/>
    <n v="2"/>
  </r>
  <r>
    <s v="No"/>
    <s v="Travel_Rarely"/>
    <x v="2"/>
    <s v="Current Employees"/>
    <x v="1"/>
    <x v="0"/>
    <s v="STAFF-242"/>
    <x v="176"/>
    <x v="1"/>
    <x v="1"/>
    <x v="0"/>
    <s v="No"/>
    <s v="Y"/>
    <n v="2"/>
    <n v="-2"/>
    <n v="0"/>
    <x v="3"/>
    <n v="0"/>
    <m/>
    <n v="0"/>
    <n v="1"/>
    <n v="134"/>
    <n v="2"/>
    <x v="3"/>
    <n v="1"/>
    <n v="3"/>
    <n v="90"/>
    <n v="3"/>
    <n v="1"/>
    <n v="2"/>
    <n v="2500"/>
    <n v="10515"/>
    <n v="0"/>
    <n v="14"/>
    <n v="3"/>
    <n v="1"/>
    <n v="80"/>
    <n v="0"/>
    <n v="4"/>
    <n v="4"/>
    <n v="3"/>
    <n v="1"/>
    <n v="0"/>
    <n v="2"/>
  </r>
  <r>
    <s v="Yes"/>
    <s v="Travel_Rarely"/>
    <x v="4"/>
    <s v="Ex-Employees"/>
    <x v="1"/>
    <x v="0"/>
    <s v="STAFF-243"/>
    <x v="177"/>
    <x v="1"/>
    <x v="2"/>
    <x v="0"/>
    <s v="No"/>
    <s v="Y"/>
    <n v="3"/>
    <n v="-2"/>
    <n v="0"/>
    <x v="37"/>
    <n v="1"/>
    <n v="1"/>
    <n v="1"/>
    <n v="0"/>
    <n v="303"/>
    <n v="2"/>
    <x v="3"/>
    <n v="1"/>
    <n v="2"/>
    <n v="47"/>
    <n v="2"/>
    <n v="1"/>
    <n v="2"/>
    <n v="1102"/>
    <n v="9241"/>
    <n v="1"/>
    <n v="22"/>
    <n v="4"/>
    <n v="3"/>
    <n v="80"/>
    <n v="0"/>
    <n v="1"/>
    <n v="2"/>
    <n v="1"/>
    <n v="0"/>
    <n v="1"/>
    <n v="0"/>
  </r>
  <r>
    <s v="No"/>
    <s v="Travel_Rarely"/>
    <x v="1"/>
    <s v="Current Employees"/>
    <x v="0"/>
    <x v="3"/>
    <s v="STAFF-244"/>
    <x v="178"/>
    <x v="0"/>
    <x v="0"/>
    <x v="2"/>
    <s v="No"/>
    <s v="Y"/>
    <n v="2"/>
    <n v="-2"/>
    <n v="0"/>
    <x v="21"/>
    <n v="0"/>
    <m/>
    <n v="0"/>
    <n v="1"/>
    <n v="526"/>
    <n v="1"/>
    <x v="0"/>
    <n v="1"/>
    <n v="2"/>
    <n v="92"/>
    <n v="3"/>
    <n v="3"/>
    <n v="1"/>
    <n v="10453"/>
    <n v="2137"/>
    <n v="1"/>
    <n v="25"/>
    <n v="4"/>
    <n v="3"/>
    <n v="80"/>
    <n v="3"/>
    <n v="24"/>
    <n v="3"/>
    <n v="24"/>
    <n v="13"/>
    <n v="15"/>
    <n v="7"/>
  </r>
  <r>
    <s v="No"/>
    <s v="Travel_Rarely"/>
    <x v="0"/>
    <s v="Current Employees"/>
    <x v="1"/>
    <x v="0"/>
    <s v="STAFF-245"/>
    <x v="179"/>
    <x v="0"/>
    <x v="2"/>
    <x v="0"/>
    <s v="No"/>
    <s v="Y"/>
    <n v="3"/>
    <n v="-2"/>
    <n v="0"/>
    <x v="8"/>
    <n v="0"/>
    <m/>
    <n v="0"/>
    <n v="1"/>
    <n v="1380"/>
    <n v="9"/>
    <x v="0"/>
    <n v="1"/>
    <n v="3"/>
    <n v="75"/>
    <n v="3"/>
    <n v="1"/>
    <n v="2"/>
    <n v="2288"/>
    <n v="6319"/>
    <n v="1"/>
    <n v="12"/>
    <n v="3"/>
    <n v="3"/>
    <n v="80"/>
    <n v="0"/>
    <n v="2"/>
    <n v="3"/>
    <n v="2"/>
    <n v="2"/>
    <n v="2"/>
    <n v="1"/>
  </r>
  <r>
    <s v="No"/>
    <s v="Travel_Rarely"/>
    <x v="2"/>
    <s v="Current Employees"/>
    <x v="1"/>
    <x v="2"/>
    <s v="STAFF-246"/>
    <x v="180"/>
    <x v="0"/>
    <x v="1"/>
    <x v="1"/>
    <s v="Yes"/>
    <s v="Y"/>
    <n v="0"/>
    <n v="-2"/>
    <n v="0"/>
    <x v="12"/>
    <n v="0"/>
    <m/>
    <n v="0"/>
    <n v="1"/>
    <n v="140"/>
    <n v="12"/>
    <x v="1"/>
    <n v="1"/>
    <n v="3"/>
    <n v="95"/>
    <n v="3"/>
    <n v="1"/>
    <n v="4"/>
    <n v="3929"/>
    <n v="6984"/>
    <n v="8"/>
    <n v="23"/>
    <n v="4"/>
    <n v="3"/>
    <n v="80"/>
    <n v="1"/>
    <n v="7"/>
    <n v="3"/>
    <n v="4"/>
    <n v="2"/>
    <n v="0"/>
    <n v="2"/>
  </r>
  <r>
    <s v="No"/>
    <s v="Travel_Rarely"/>
    <x v="2"/>
    <s v="Current Employees"/>
    <x v="1"/>
    <x v="2"/>
    <s v="STAFF-247"/>
    <x v="181"/>
    <x v="0"/>
    <x v="1"/>
    <x v="0"/>
    <s v="No"/>
    <s v="Y"/>
    <n v="3"/>
    <n v="-2"/>
    <n v="0"/>
    <x v="13"/>
    <n v="0"/>
    <m/>
    <n v="0"/>
    <n v="1"/>
    <n v="629"/>
    <n v="27"/>
    <x v="0"/>
    <n v="1"/>
    <n v="4"/>
    <n v="95"/>
    <n v="3"/>
    <n v="1"/>
    <n v="3"/>
    <n v="2311"/>
    <n v="5711"/>
    <n v="2"/>
    <n v="15"/>
    <n v="3"/>
    <n v="4"/>
    <n v="80"/>
    <n v="0"/>
    <n v="9"/>
    <n v="3"/>
    <n v="3"/>
    <n v="2"/>
    <n v="1"/>
    <n v="2"/>
  </r>
  <r>
    <s v="Yes"/>
    <s v="Travel_Rarely"/>
    <x v="0"/>
    <s v="Ex-Employees"/>
    <x v="0"/>
    <x v="3"/>
    <s v="STAFF-248"/>
    <x v="182"/>
    <x v="0"/>
    <x v="6"/>
    <x v="0"/>
    <s v="Yes"/>
    <s v="Y"/>
    <n v="5"/>
    <n v="-2"/>
    <n v="0"/>
    <x v="0"/>
    <n v="1"/>
    <n v="1"/>
    <n v="1"/>
    <n v="0"/>
    <n v="1356"/>
    <n v="20"/>
    <x v="0"/>
    <n v="1"/>
    <n v="2"/>
    <n v="70"/>
    <n v="3"/>
    <n v="1"/>
    <n v="3"/>
    <n v="3140"/>
    <n v="21728"/>
    <n v="1"/>
    <n v="22"/>
    <n v="4"/>
    <n v="4"/>
    <n v="80"/>
    <n v="0"/>
    <n v="4"/>
    <n v="2"/>
    <n v="4"/>
    <n v="3"/>
    <n v="0"/>
    <n v="2"/>
  </r>
  <r>
    <s v="No"/>
    <s v="Travel_Rarely"/>
    <x v="1"/>
    <s v="Current Employees"/>
    <x v="1"/>
    <x v="2"/>
    <s v="STAFF-249"/>
    <x v="183"/>
    <x v="1"/>
    <x v="2"/>
    <x v="1"/>
    <s v="No"/>
    <s v="Y"/>
    <n v="2"/>
    <n v="-2"/>
    <n v="0"/>
    <x v="24"/>
    <n v="0"/>
    <m/>
    <n v="0"/>
    <n v="1"/>
    <n v="328"/>
    <n v="1"/>
    <x v="3"/>
    <n v="1"/>
    <n v="3"/>
    <n v="86"/>
    <n v="2"/>
    <n v="1"/>
    <n v="3"/>
    <n v="3690"/>
    <n v="3425"/>
    <n v="2"/>
    <n v="15"/>
    <n v="3"/>
    <n v="4"/>
    <n v="80"/>
    <n v="1"/>
    <n v="5"/>
    <n v="2"/>
    <n v="3"/>
    <n v="2"/>
    <n v="0"/>
    <n v="2"/>
  </r>
  <r>
    <s v="No"/>
    <s v="Travel_Rarely"/>
    <x v="1"/>
    <s v="Current Employees"/>
    <x v="1"/>
    <x v="2"/>
    <s v="STAFF-250"/>
    <x v="184"/>
    <x v="0"/>
    <x v="3"/>
    <x v="2"/>
    <s v="No"/>
    <s v="Y"/>
    <n v="3"/>
    <n v="-2"/>
    <n v="0"/>
    <x v="16"/>
    <n v="0"/>
    <m/>
    <n v="0"/>
    <n v="1"/>
    <n v="1084"/>
    <n v="13"/>
    <x v="0"/>
    <n v="1"/>
    <n v="4"/>
    <n v="57"/>
    <n v="4"/>
    <n v="2"/>
    <n v="3"/>
    <n v="4450"/>
    <n v="26250"/>
    <n v="1"/>
    <n v="11"/>
    <n v="3"/>
    <n v="3"/>
    <n v="80"/>
    <n v="2"/>
    <n v="5"/>
    <n v="3"/>
    <n v="4"/>
    <n v="2"/>
    <n v="1"/>
    <n v="3"/>
  </r>
  <r>
    <s v="No"/>
    <s v="Travel_Rarely"/>
    <x v="2"/>
    <s v="Current Employees"/>
    <x v="1"/>
    <x v="2"/>
    <s v="STAFF-252"/>
    <x v="185"/>
    <x v="0"/>
    <x v="1"/>
    <x v="1"/>
    <s v="No"/>
    <s v="Y"/>
    <n v="5"/>
    <n v="-2"/>
    <n v="0"/>
    <x v="3"/>
    <n v="0"/>
    <m/>
    <n v="0"/>
    <n v="1"/>
    <n v="931"/>
    <n v="14"/>
    <x v="3"/>
    <n v="1"/>
    <n v="4"/>
    <n v="72"/>
    <n v="3"/>
    <n v="1"/>
    <n v="3"/>
    <n v="2756"/>
    <n v="4673"/>
    <n v="1"/>
    <n v="13"/>
    <n v="3"/>
    <n v="4"/>
    <n v="80"/>
    <n v="1"/>
    <n v="8"/>
    <n v="3"/>
    <n v="8"/>
    <n v="7"/>
    <n v="1"/>
    <n v="6"/>
  </r>
  <r>
    <s v="No"/>
    <s v="Travel_Rarely"/>
    <x v="0"/>
    <s v="Current Employees"/>
    <x v="1"/>
    <x v="2"/>
    <s v="STAFF-253"/>
    <x v="186"/>
    <x v="0"/>
    <x v="5"/>
    <x v="1"/>
    <s v="No"/>
    <s v="Y"/>
    <n v="2"/>
    <n v="-2"/>
    <n v="0"/>
    <x v="32"/>
    <n v="0"/>
    <m/>
    <n v="0"/>
    <n v="1"/>
    <n v="989"/>
    <n v="4"/>
    <x v="1"/>
    <n v="1"/>
    <n v="4"/>
    <n v="46"/>
    <n v="3"/>
    <n v="5"/>
    <n v="3"/>
    <n v="19033"/>
    <n v="6499"/>
    <n v="1"/>
    <n v="14"/>
    <n v="3"/>
    <n v="2"/>
    <n v="80"/>
    <n v="1"/>
    <n v="21"/>
    <n v="3"/>
    <n v="20"/>
    <n v="8"/>
    <n v="9"/>
    <n v="9"/>
  </r>
  <r>
    <s v="No"/>
    <s v="Travel_Rarely"/>
    <x v="3"/>
    <s v="Current Employees"/>
    <x v="1"/>
    <x v="2"/>
    <s v="STAFF-254"/>
    <x v="187"/>
    <x v="1"/>
    <x v="7"/>
    <x v="0"/>
    <s v="No"/>
    <s v="Y"/>
    <n v="3"/>
    <n v="-2"/>
    <n v="0"/>
    <x v="27"/>
    <n v="0"/>
    <m/>
    <n v="0"/>
    <n v="1"/>
    <n v="692"/>
    <n v="14"/>
    <x v="2"/>
    <n v="1"/>
    <n v="3"/>
    <n v="61"/>
    <n v="4"/>
    <n v="5"/>
    <n v="3"/>
    <n v="18722"/>
    <n v="13339"/>
    <n v="8"/>
    <n v="11"/>
    <n v="3"/>
    <n v="4"/>
    <n v="80"/>
    <n v="0"/>
    <n v="36"/>
    <n v="3"/>
    <n v="24"/>
    <n v="15"/>
    <n v="2"/>
    <n v="15"/>
  </r>
  <r>
    <s v="No"/>
    <s v="Travel_Frequently"/>
    <x v="2"/>
    <s v="Current Employees"/>
    <x v="1"/>
    <x v="0"/>
    <s v="STAFF-256"/>
    <x v="188"/>
    <x v="1"/>
    <x v="3"/>
    <x v="1"/>
    <s v="No"/>
    <s v="Y"/>
    <n v="2"/>
    <n v="-2"/>
    <n v="0"/>
    <x v="13"/>
    <n v="0"/>
    <m/>
    <n v="0"/>
    <n v="1"/>
    <n v="1069"/>
    <n v="2"/>
    <x v="1"/>
    <n v="1"/>
    <n v="4"/>
    <n v="45"/>
    <n v="2"/>
    <n v="2"/>
    <n v="2"/>
    <n v="9547"/>
    <n v="14074"/>
    <n v="1"/>
    <n v="17"/>
    <n v="3"/>
    <n v="3"/>
    <n v="80"/>
    <n v="0"/>
    <n v="10"/>
    <n v="2"/>
    <n v="10"/>
    <n v="9"/>
    <n v="1"/>
    <n v="9"/>
  </r>
  <r>
    <s v="No"/>
    <s v="Travel_Rarely"/>
    <x v="1"/>
    <s v="Current Employees"/>
    <x v="1"/>
    <x v="2"/>
    <s v="STAFF-258"/>
    <x v="189"/>
    <x v="0"/>
    <x v="4"/>
    <x v="0"/>
    <s v="No"/>
    <s v="Y"/>
    <n v="6"/>
    <n v="-2"/>
    <n v="0"/>
    <x v="31"/>
    <n v="0"/>
    <m/>
    <n v="0"/>
    <n v="1"/>
    <n v="313"/>
    <n v="3"/>
    <x v="3"/>
    <n v="1"/>
    <n v="4"/>
    <n v="98"/>
    <n v="3"/>
    <n v="4"/>
    <n v="3"/>
    <n v="13734"/>
    <n v="7192"/>
    <n v="3"/>
    <n v="18"/>
    <n v="3"/>
    <n v="3"/>
    <n v="80"/>
    <n v="0"/>
    <n v="21"/>
    <n v="3"/>
    <n v="7"/>
    <n v="7"/>
    <n v="1"/>
    <n v="0"/>
  </r>
  <r>
    <s v="No"/>
    <s v="Travel_Rarely"/>
    <x v="1"/>
    <s v="Current Employees"/>
    <x v="1"/>
    <x v="0"/>
    <s v="STAFF-259"/>
    <x v="190"/>
    <x v="1"/>
    <x v="5"/>
    <x v="1"/>
    <s v="No"/>
    <s v="Y"/>
    <n v="5"/>
    <n v="-2"/>
    <n v="0"/>
    <x v="39"/>
    <n v="0"/>
    <m/>
    <n v="0"/>
    <n v="1"/>
    <n v="699"/>
    <n v="1"/>
    <x v="2"/>
    <n v="1"/>
    <n v="3"/>
    <n v="65"/>
    <n v="2"/>
    <n v="5"/>
    <n v="2"/>
    <n v="19999"/>
    <n v="5678"/>
    <n v="0"/>
    <n v="14"/>
    <n v="3"/>
    <n v="1"/>
    <n v="80"/>
    <n v="1"/>
    <n v="34"/>
    <n v="3"/>
    <n v="33"/>
    <n v="18"/>
    <n v="11"/>
    <n v="9"/>
  </r>
  <r>
    <s v="No"/>
    <s v="Travel_Rarely"/>
    <x v="2"/>
    <s v="Current Employees"/>
    <x v="1"/>
    <x v="2"/>
    <s v="STAFF-260"/>
    <x v="191"/>
    <x v="0"/>
    <x v="1"/>
    <x v="0"/>
    <s v="No"/>
    <s v="Y"/>
    <n v="2"/>
    <n v="-2"/>
    <n v="0"/>
    <x v="4"/>
    <n v="0"/>
    <m/>
    <n v="0"/>
    <n v="1"/>
    <n v="894"/>
    <n v="9"/>
    <x v="3"/>
    <n v="1"/>
    <n v="4"/>
    <n v="99"/>
    <n v="3"/>
    <n v="1"/>
    <n v="3"/>
    <n v="2279"/>
    <n v="11781"/>
    <n v="1"/>
    <n v="16"/>
    <n v="3"/>
    <n v="4"/>
    <n v="80"/>
    <n v="0"/>
    <n v="7"/>
    <n v="2"/>
    <n v="7"/>
    <n v="7"/>
    <n v="0"/>
    <n v="3"/>
  </r>
  <r>
    <s v="Yes"/>
    <s v="Travel_Rarely"/>
    <x v="0"/>
    <s v="Ex-Employees"/>
    <x v="1"/>
    <x v="0"/>
    <s v="STAFF-261"/>
    <x v="192"/>
    <x v="1"/>
    <x v="3"/>
    <x v="1"/>
    <s v="Yes"/>
    <s v="Y"/>
    <n v="1"/>
    <n v="-2"/>
    <n v="0"/>
    <x v="10"/>
    <n v="1"/>
    <n v="1"/>
    <n v="1"/>
    <n v="0"/>
    <n v="556"/>
    <n v="23"/>
    <x v="0"/>
    <n v="1"/>
    <n v="2"/>
    <n v="50"/>
    <n v="2"/>
    <n v="2"/>
    <n v="2"/>
    <n v="5916"/>
    <n v="15497"/>
    <n v="3"/>
    <n v="13"/>
    <n v="3"/>
    <n v="1"/>
    <n v="80"/>
    <n v="0"/>
    <n v="8"/>
    <n v="3"/>
    <n v="1"/>
    <n v="0"/>
    <n v="0"/>
    <n v="1"/>
  </r>
  <r>
    <s v="No"/>
    <s v="Non-Travel"/>
    <x v="0"/>
    <s v="Current Employees"/>
    <x v="1"/>
    <x v="2"/>
    <s v="STAFF-262"/>
    <x v="193"/>
    <x v="1"/>
    <x v="1"/>
    <x v="2"/>
    <s v="No"/>
    <s v="Y"/>
    <n v="3"/>
    <n v="-2"/>
    <n v="0"/>
    <x v="23"/>
    <n v="0"/>
    <m/>
    <n v="0"/>
    <n v="1"/>
    <n v="1344"/>
    <n v="7"/>
    <x v="3"/>
    <n v="1"/>
    <n v="4"/>
    <n v="37"/>
    <n v="4"/>
    <n v="1"/>
    <n v="4"/>
    <n v="2089"/>
    <n v="5228"/>
    <n v="4"/>
    <n v="14"/>
    <n v="3"/>
    <n v="4"/>
    <n v="80"/>
    <n v="3"/>
    <n v="7"/>
    <n v="4"/>
    <n v="5"/>
    <n v="4"/>
    <n v="2"/>
    <n v="2"/>
  </r>
  <r>
    <s v="No"/>
    <s v="Non-Travel"/>
    <x v="1"/>
    <s v="Current Employees"/>
    <x v="1"/>
    <x v="2"/>
    <s v="STAFF-264"/>
    <x v="194"/>
    <x v="1"/>
    <x v="5"/>
    <x v="1"/>
    <s v="No"/>
    <s v="Y"/>
    <n v="1"/>
    <n v="-2"/>
    <n v="0"/>
    <x v="28"/>
    <n v="0"/>
    <m/>
    <n v="0"/>
    <n v="1"/>
    <n v="1195"/>
    <n v="2"/>
    <x v="0"/>
    <n v="1"/>
    <n v="1"/>
    <n v="65"/>
    <n v="2"/>
    <n v="4"/>
    <n v="4"/>
    <n v="16792"/>
    <n v="20462"/>
    <n v="9"/>
    <n v="23"/>
    <n v="4"/>
    <n v="4"/>
    <n v="80"/>
    <n v="1"/>
    <n v="22"/>
    <n v="3"/>
    <n v="20"/>
    <n v="8"/>
    <n v="11"/>
    <n v="8"/>
  </r>
  <r>
    <s v="No"/>
    <s v="Travel_Rarely"/>
    <x v="0"/>
    <s v="Current Employees"/>
    <x v="1"/>
    <x v="0"/>
    <s v="STAFF-267"/>
    <x v="195"/>
    <x v="1"/>
    <x v="1"/>
    <x v="1"/>
    <s v="Yes"/>
    <s v="Y"/>
    <n v="3"/>
    <n v="-2"/>
    <n v="0"/>
    <x v="2"/>
    <n v="0"/>
    <m/>
    <n v="0"/>
    <n v="1"/>
    <n v="290"/>
    <n v="21"/>
    <x v="3"/>
    <n v="1"/>
    <n v="2"/>
    <n v="65"/>
    <n v="4"/>
    <n v="1"/>
    <n v="2"/>
    <n v="3564"/>
    <n v="22977"/>
    <n v="1"/>
    <n v="12"/>
    <n v="3"/>
    <n v="1"/>
    <n v="80"/>
    <n v="1"/>
    <n v="8"/>
    <n v="2"/>
    <n v="8"/>
    <n v="7"/>
    <n v="1"/>
    <n v="7"/>
  </r>
  <r>
    <s v="No"/>
    <s v="Travel_Frequently"/>
    <x v="0"/>
    <s v="Current Employees"/>
    <x v="1"/>
    <x v="2"/>
    <s v="STAFF-269"/>
    <x v="196"/>
    <x v="0"/>
    <x v="2"/>
    <x v="0"/>
    <s v="No"/>
    <s v="Y"/>
    <n v="5"/>
    <n v="-2"/>
    <n v="0"/>
    <x v="10"/>
    <n v="0"/>
    <m/>
    <n v="0"/>
    <n v="1"/>
    <n v="138"/>
    <n v="2"/>
    <x v="3"/>
    <n v="1"/>
    <n v="2"/>
    <n v="37"/>
    <n v="3"/>
    <n v="2"/>
    <n v="3"/>
    <n v="4425"/>
    <n v="15986"/>
    <n v="5"/>
    <n v="11"/>
    <n v="3"/>
    <n v="4"/>
    <n v="80"/>
    <n v="0"/>
    <n v="10"/>
    <n v="3"/>
    <n v="6"/>
    <n v="2"/>
    <n v="1"/>
    <n v="2"/>
  </r>
  <r>
    <s v="No"/>
    <s v="Non-Travel"/>
    <x v="0"/>
    <s v="Current Employees"/>
    <x v="1"/>
    <x v="2"/>
    <s v="STAFF-270"/>
    <x v="197"/>
    <x v="0"/>
    <x v="3"/>
    <x v="2"/>
    <s v="No"/>
    <s v="Y"/>
    <n v="5"/>
    <n v="-2"/>
    <n v="0"/>
    <x v="19"/>
    <n v="0"/>
    <m/>
    <n v="0"/>
    <n v="1"/>
    <n v="926"/>
    <n v="21"/>
    <x v="0"/>
    <n v="1"/>
    <n v="3"/>
    <n v="36"/>
    <n v="3"/>
    <n v="2"/>
    <n v="3"/>
    <n v="5265"/>
    <n v="16439"/>
    <n v="2"/>
    <n v="16"/>
    <n v="3"/>
    <n v="2"/>
    <n v="80"/>
    <n v="1"/>
    <n v="11"/>
    <n v="3"/>
    <n v="5"/>
    <n v="3"/>
    <n v="0"/>
    <n v="2"/>
  </r>
  <r>
    <s v="No"/>
    <s v="Travel_Rarely"/>
    <x v="0"/>
    <s v="Current Employees"/>
    <x v="1"/>
    <x v="0"/>
    <s v="STAFF-271"/>
    <x v="198"/>
    <x v="1"/>
    <x v="3"/>
    <x v="1"/>
    <s v="No"/>
    <s v="Y"/>
    <n v="3"/>
    <n v="-2"/>
    <n v="0"/>
    <x v="8"/>
    <n v="0"/>
    <m/>
    <n v="0"/>
    <n v="1"/>
    <n v="1261"/>
    <n v="2"/>
    <x v="2"/>
    <n v="1"/>
    <n v="4"/>
    <n v="88"/>
    <n v="3"/>
    <n v="2"/>
    <n v="2"/>
    <n v="6553"/>
    <n v="7259"/>
    <n v="9"/>
    <n v="14"/>
    <n v="3"/>
    <n v="2"/>
    <n v="80"/>
    <n v="0"/>
    <n v="14"/>
    <n v="3"/>
    <n v="1"/>
    <n v="0"/>
    <n v="0"/>
    <n v="0"/>
  </r>
  <r>
    <s v="No"/>
    <s v="Travel_Rarely"/>
    <x v="0"/>
    <s v="Current Employees"/>
    <x v="1"/>
    <x v="4"/>
    <s v="STAFF-273"/>
    <x v="199"/>
    <x v="1"/>
    <x v="3"/>
    <x v="1"/>
    <s v="No"/>
    <s v="Y"/>
    <n v="3"/>
    <n v="-2"/>
    <n v="0"/>
    <x v="8"/>
    <n v="0"/>
    <m/>
    <n v="0"/>
    <n v="1"/>
    <n v="1084"/>
    <n v="29"/>
    <x v="3"/>
    <n v="1"/>
    <n v="4"/>
    <n v="54"/>
    <n v="3"/>
    <n v="2"/>
    <n v="4"/>
    <n v="6261"/>
    <n v="4185"/>
    <n v="3"/>
    <n v="18"/>
    <n v="3"/>
    <n v="1"/>
    <n v="80"/>
    <n v="1"/>
    <n v="9"/>
    <n v="1"/>
    <n v="7"/>
    <n v="7"/>
    <n v="1"/>
    <n v="7"/>
  </r>
  <r>
    <s v="No"/>
    <s v="Travel_Frequently"/>
    <x v="2"/>
    <s v="Current Employees"/>
    <x v="1"/>
    <x v="4"/>
    <s v="STAFF-274"/>
    <x v="200"/>
    <x v="1"/>
    <x v="3"/>
    <x v="1"/>
    <s v="No"/>
    <s v="Y"/>
    <n v="1"/>
    <n v="-2"/>
    <n v="0"/>
    <x v="4"/>
    <n v="0"/>
    <m/>
    <n v="0"/>
    <n v="1"/>
    <n v="472"/>
    <n v="1"/>
    <x v="1"/>
    <n v="1"/>
    <n v="3"/>
    <n v="60"/>
    <n v="2"/>
    <n v="2"/>
    <n v="4"/>
    <n v="4298"/>
    <n v="9679"/>
    <n v="5"/>
    <n v="19"/>
    <n v="3"/>
    <n v="3"/>
    <n v="80"/>
    <n v="1"/>
    <n v="6"/>
    <n v="3"/>
    <n v="2"/>
    <n v="2"/>
    <n v="2"/>
    <n v="0"/>
  </r>
  <r>
    <s v="No"/>
    <s v="Non-Travel"/>
    <x v="1"/>
    <s v="Current Employees"/>
    <x v="1"/>
    <x v="0"/>
    <s v="STAFF-275"/>
    <x v="201"/>
    <x v="1"/>
    <x v="3"/>
    <x v="2"/>
    <s v="Yes"/>
    <s v="Y"/>
    <n v="0"/>
    <n v="-2"/>
    <n v="0"/>
    <x v="1"/>
    <n v="0"/>
    <m/>
    <n v="0"/>
    <n v="1"/>
    <n v="1002"/>
    <n v="18"/>
    <x v="2"/>
    <n v="1"/>
    <n v="4"/>
    <n v="92"/>
    <n v="3"/>
    <n v="2"/>
    <n v="2"/>
    <n v="6804"/>
    <n v="23793"/>
    <n v="1"/>
    <n v="15"/>
    <n v="3"/>
    <n v="1"/>
    <n v="80"/>
    <n v="2"/>
    <n v="7"/>
    <n v="3"/>
    <n v="7"/>
    <n v="7"/>
    <n v="1"/>
    <n v="7"/>
  </r>
  <r>
    <s v="No"/>
    <s v="Travel_Frequently"/>
    <x v="2"/>
    <s v="Current Employees"/>
    <x v="1"/>
    <x v="2"/>
    <s v="STAFF-277"/>
    <x v="202"/>
    <x v="1"/>
    <x v="1"/>
    <x v="2"/>
    <s v="Yes"/>
    <s v="Y"/>
    <n v="4"/>
    <n v="-2"/>
    <n v="0"/>
    <x v="13"/>
    <n v="0"/>
    <m/>
    <n v="0"/>
    <n v="1"/>
    <n v="878"/>
    <n v="10"/>
    <x v="2"/>
    <n v="1"/>
    <n v="4"/>
    <n v="43"/>
    <n v="3"/>
    <n v="1"/>
    <n v="3"/>
    <n v="3815"/>
    <n v="5972"/>
    <n v="1"/>
    <n v="17"/>
    <n v="3"/>
    <n v="4"/>
    <n v="80"/>
    <n v="1"/>
    <n v="5"/>
    <n v="4"/>
    <n v="5"/>
    <n v="3"/>
    <n v="2"/>
    <n v="0"/>
  </r>
  <r>
    <s v="No"/>
    <s v="Travel_Rarely"/>
    <x v="0"/>
    <s v="Current Employees"/>
    <x v="1"/>
    <x v="2"/>
    <s v="STAFF-281"/>
    <x v="203"/>
    <x v="1"/>
    <x v="2"/>
    <x v="1"/>
    <s v="Yes"/>
    <s v="Y"/>
    <n v="2"/>
    <n v="-2"/>
    <n v="0"/>
    <x v="32"/>
    <n v="0"/>
    <m/>
    <n v="0"/>
    <n v="1"/>
    <n v="905"/>
    <n v="19"/>
    <x v="0"/>
    <n v="1"/>
    <n v="3"/>
    <n v="99"/>
    <n v="3"/>
    <n v="2"/>
    <n v="4"/>
    <n v="2741"/>
    <n v="16523"/>
    <n v="8"/>
    <n v="15"/>
    <n v="3"/>
    <n v="3"/>
    <n v="80"/>
    <n v="1"/>
    <n v="15"/>
    <n v="4"/>
    <n v="7"/>
    <n v="2"/>
    <n v="3"/>
    <n v="7"/>
  </r>
  <r>
    <s v="Yes"/>
    <s v="Travel_Rarely"/>
    <x v="0"/>
    <s v="Ex-Employees"/>
    <x v="1"/>
    <x v="2"/>
    <s v="STAFF-282"/>
    <x v="204"/>
    <x v="1"/>
    <x v="4"/>
    <x v="1"/>
    <s v="Yes"/>
    <s v="Y"/>
    <n v="2"/>
    <n v="-2"/>
    <n v="0"/>
    <x v="8"/>
    <n v="1"/>
    <n v="1"/>
    <n v="1"/>
    <n v="0"/>
    <n v="1180"/>
    <n v="29"/>
    <x v="1"/>
    <n v="1"/>
    <n v="2"/>
    <n v="70"/>
    <n v="3"/>
    <n v="2"/>
    <n v="3"/>
    <n v="6673"/>
    <n v="11354"/>
    <n v="7"/>
    <n v="19"/>
    <n v="3"/>
    <n v="2"/>
    <n v="80"/>
    <n v="0"/>
    <n v="17"/>
    <n v="3"/>
    <n v="1"/>
    <n v="0"/>
    <n v="0"/>
    <n v="0"/>
  </r>
  <r>
    <s v="Yes"/>
    <s v="Travel_Rarely"/>
    <x v="2"/>
    <s v="Ex-Employees"/>
    <x v="0"/>
    <x v="3"/>
    <s v="STAFF-283"/>
    <x v="205"/>
    <x v="0"/>
    <x v="0"/>
    <x v="1"/>
    <s v="No"/>
    <s v="Y"/>
    <n v="3"/>
    <n v="-2"/>
    <n v="0"/>
    <x v="11"/>
    <n v="1"/>
    <n v="1"/>
    <n v="1"/>
    <n v="0"/>
    <n v="121"/>
    <n v="27"/>
    <x v="3"/>
    <n v="1"/>
    <n v="2"/>
    <n v="35"/>
    <n v="3"/>
    <n v="3"/>
    <n v="4"/>
    <n v="7639"/>
    <n v="24525"/>
    <n v="1"/>
    <n v="22"/>
    <n v="4"/>
    <n v="4"/>
    <n v="80"/>
    <n v="3"/>
    <n v="10"/>
    <n v="2"/>
    <n v="10"/>
    <n v="4"/>
    <n v="1"/>
    <n v="9"/>
  </r>
  <r>
    <s v="No"/>
    <s v="Travel_Rarely"/>
    <x v="4"/>
    <s v="Current Employees"/>
    <x v="1"/>
    <x v="0"/>
    <s v="STAFF-284"/>
    <x v="206"/>
    <x v="1"/>
    <x v="1"/>
    <x v="2"/>
    <s v="Yes"/>
    <s v="Y"/>
    <n v="2"/>
    <n v="-2"/>
    <n v="0"/>
    <x v="15"/>
    <n v="0"/>
    <m/>
    <n v="0"/>
    <n v="1"/>
    <n v="1136"/>
    <n v="5"/>
    <x v="3"/>
    <n v="1"/>
    <n v="4"/>
    <n v="60"/>
    <n v="4"/>
    <n v="1"/>
    <n v="2"/>
    <n v="2328"/>
    <n v="12392"/>
    <n v="1"/>
    <n v="16"/>
    <n v="3"/>
    <n v="1"/>
    <n v="80"/>
    <n v="1"/>
    <n v="4"/>
    <n v="2"/>
    <n v="4"/>
    <n v="2"/>
    <n v="2"/>
    <n v="2"/>
  </r>
  <r>
    <s v="No"/>
    <s v="Travel_Frequently"/>
    <x v="0"/>
    <s v="Current Employees"/>
    <x v="1"/>
    <x v="2"/>
    <s v="STAFF-286"/>
    <x v="207"/>
    <x v="0"/>
    <x v="2"/>
    <x v="0"/>
    <s v="No"/>
    <s v="Y"/>
    <n v="2"/>
    <n v="-2"/>
    <n v="0"/>
    <x v="9"/>
    <n v="0"/>
    <m/>
    <n v="0"/>
    <n v="1"/>
    <n v="635"/>
    <n v="18"/>
    <x v="1"/>
    <n v="1"/>
    <n v="2"/>
    <n v="73"/>
    <n v="3"/>
    <n v="1"/>
    <n v="4"/>
    <n v="2153"/>
    <n v="7703"/>
    <n v="1"/>
    <n v="13"/>
    <n v="3"/>
    <n v="1"/>
    <n v="80"/>
    <n v="0"/>
    <n v="8"/>
    <n v="3"/>
    <n v="8"/>
    <n v="1"/>
    <n v="1"/>
    <n v="7"/>
  </r>
  <r>
    <s v="No"/>
    <s v="Non-Travel"/>
    <x v="0"/>
    <s v="Current Employees"/>
    <x v="1"/>
    <x v="0"/>
    <s v="STAFF-287"/>
    <x v="208"/>
    <x v="1"/>
    <x v="4"/>
    <x v="1"/>
    <s v="No"/>
    <s v="Y"/>
    <n v="5"/>
    <n v="-2"/>
    <n v="0"/>
    <x v="32"/>
    <n v="0"/>
    <m/>
    <n v="0"/>
    <n v="1"/>
    <n v="1151"/>
    <n v="9"/>
    <x v="4"/>
    <n v="1"/>
    <n v="4"/>
    <n v="63"/>
    <n v="2"/>
    <n v="2"/>
    <n v="2"/>
    <n v="4876"/>
    <n v="14242"/>
    <n v="9"/>
    <n v="14"/>
    <n v="3"/>
    <n v="4"/>
    <n v="80"/>
    <n v="1"/>
    <n v="5"/>
    <n v="1"/>
    <n v="3"/>
    <n v="2"/>
    <n v="0"/>
    <n v="2"/>
  </r>
  <r>
    <s v="No"/>
    <s v="Travel_Rarely"/>
    <x v="1"/>
    <s v="Current Employees"/>
    <x v="1"/>
    <x v="2"/>
    <s v="STAFF-288"/>
    <x v="209"/>
    <x v="1"/>
    <x v="4"/>
    <x v="2"/>
    <s v="No"/>
    <s v="Y"/>
    <n v="3"/>
    <n v="-2"/>
    <n v="0"/>
    <x v="21"/>
    <n v="0"/>
    <m/>
    <n v="0"/>
    <n v="1"/>
    <n v="644"/>
    <n v="1"/>
    <x v="2"/>
    <n v="1"/>
    <n v="4"/>
    <n v="97"/>
    <n v="3"/>
    <n v="3"/>
    <n v="3"/>
    <n v="9396"/>
    <n v="12368"/>
    <n v="7"/>
    <n v="16"/>
    <n v="3"/>
    <n v="3"/>
    <n v="80"/>
    <n v="1"/>
    <n v="17"/>
    <n v="3"/>
    <n v="4"/>
    <n v="2"/>
    <n v="0"/>
    <n v="3"/>
  </r>
  <r>
    <s v="Yes"/>
    <s v="Travel_Rarely"/>
    <x v="2"/>
    <s v="Ex-Employees"/>
    <x v="0"/>
    <x v="2"/>
    <s v="STAFF-291"/>
    <x v="210"/>
    <x v="1"/>
    <x v="0"/>
    <x v="1"/>
    <s v="No"/>
    <s v="Y"/>
    <n v="2"/>
    <n v="-2"/>
    <n v="0"/>
    <x v="5"/>
    <n v="1"/>
    <n v="1"/>
    <n v="1"/>
    <n v="0"/>
    <n v="1045"/>
    <n v="4"/>
    <x v="2"/>
    <n v="1"/>
    <n v="4"/>
    <n v="32"/>
    <n v="1"/>
    <n v="3"/>
    <n v="4"/>
    <n v="10400"/>
    <n v="25812"/>
    <n v="1"/>
    <n v="11"/>
    <n v="3"/>
    <n v="3"/>
    <n v="80"/>
    <n v="0"/>
    <n v="14"/>
    <n v="2"/>
    <n v="14"/>
    <n v="8"/>
    <n v="9"/>
    <n v="8"/>
  </r>
  <r>
    <s v="No"/>
    <s v="Non-Travel"/>
    <x v="2"/>
    <s v="Current Employees"/>
    <x v="1"/>
    <x v="0"/>
    <s v="STAFF-292"/>
    <x v="211"/>
    <x v="1"/>
    <x v="3"/>
    <x v="0"/>
    <s v="No"/>
    <s v="Y"/>
    <n v="2"/>
    <n v="-2"/>
    <n v="0"/>
    <x v="7"/>
    <n v="0"/>
    <m/>
    <n v="0"/>
    <n v="1"/>
    <n v="829"/>
    <n v="1"/>
    <x v="1"/>
    <n v="1"/>
    <n v="3"/>
    <n v="88"/>
    <n v="2"/>
    <n v="3"/>
    <n v="2"/>
    <n v="8474"/>
    <n v="20925"/>
    <n v="1"/>
    <n v="22"/>
    <n v="4"/>
    <n v="3"/>
    <n v="80"/>
    <n v="0"/>
    <n v="12"/>
    <n v="3"/>
    <n v="11"/>
    <n v="8"/>
    <n v="5"/>
    <n v="8"/>
  </r>
  <r>
    <s v="No"/>
    <s v="Travel_Frequently"/>
    <x v="2"/>
    <s v="Current Employees"/>
    <x v="0"/>
    <x v="0"/>
    <s v="STAFF-293"/>
    <x v="212"/>
    <x v="0"/>
    <x v="0"/>
    <x v="0"/>
    <s v="No"/>
    <s v="Y"/>
    <n v="2"/>
    <n v="-2"/>
    <n v="0"/>
    <x v="4"/>
    <n v="0"/>
    <m/>
    <n v="0"/>
    <n v="1"/>
    <n v="1242"/>
    <n v="20"/>
    <x v="3"/>
    <n v="1"/>
    <n v="4"/>
    <n v="90"/>
    <n v="3"/>
    <n v="2"/>
    <n v="2"/>
    <n v="9981"/>
    <n v="12916"/>
    <n v="1"/>
    <n v="14"/>
    <n v="3"/>
    <n v="4"/>
    <n v="80"/>
    <n v="0"/>
    <n v="7"/>
    <n v="3"/>
    <n v="7"/>
    <n v="7"/>
    <n v="0"/>
    <n v="7"/>
  </r>
  <r>
    <s v="No"/>
    <s v="Travel_Rarely"/>
    <x v="1"/>
    <s v="Current Employees"/>
    <x v="1"/>
    <x v="0"/>
    <s v="STAFF-296"/>
    <x v="213"/>
    <x v="1"/>
    <x v="7"/>
    <x v="1"/>
    <s v="No"/>
    <s v="Y"/>
    <n v="5"/>
    <n v="-2"/>
    <n v="0"/>
    <x v="31"/>
    <n v="0"/>
    <m/>
    <n v="0"/>
    <n v="1"/>
    <n v="1469"/>
    <n v="8"/>
    <x v="2"/>
    <n v="1"/>
    <n v="2"/>
    <n v="81"/>
    <n v="2"/>
    <n v="3"/>
    <n v="2"/>
    <n v="12490"/>
    <n v="15736"/>
    <n v="5"/>
    <n v="16"/>
    <n v="3"/>
    <n v="4"/>
    <n v="80"/>
    <n v="2"/>
    <n v="16"/>
    <n v="1"/>
    <n v="10"/>
    <n v="9"/>
    <n v="4"/>
    <n v="7"/>
  </r>
  <r>
    <s v="Yes"/>
    <s v="Travel_Rarely"/>
    <x v="2"/>
    <s v="Ex-Employees"/>
    <x v="1"/>
    <x v="4"/>
    <s v="STAFF-297"/>
    <x v="214"/>
    <x v="0"/>
    <x v="1"/>
    <x v="0"/>
    <s v="Yes"/>
    <s v="Y"/>
    <n v="5"/>
    <n v="-2"/>
    <n v="0"/>
    <x v="7"/>
    <n v="1"/>
    <n v="1"/>
    <n v="1"/>
    <n v="0"/>
    <n v="1005"/>
    <n v="3"/>
    <x v="3"/>
    <n v="1"/>
    <n v="4"/>
    <n v="88"/>
    <n v="3"/>
    <n v="1"/>
    <n v="4"/>
    <n v="2657"/>
    <n v="8556"/>
    <n v="5"/>
    <n v="11"/>
    <n v="3"/>
    <n v="3"/>
    <n v="80"/>
    <n v="0"/>
    <n v="8"/>
    <n v="3"/>
    <n v="5"/>
    <n v="2"/>
    <n v="0"/>
    <n v="4"/>
  </r>
  <r>
    <s v="No"/>
    <s v="Travel_Rarely"/>
    <x v="0"/>
    <s v="Current Employees"/>
    <x v="0"/>
    <x v="0"/>
    <s v="STAFF-298"/>
    <x v="215"/>
    <x v="0"/>
    <x v="5"/>
    <x v="0"/>
    <s v="Yes"/>
    <s v="Y"/>
    <n v="3"/>
    <n v="-2"/>
    <n v="0"/>
    <x v="0"/>
    <n v="0"/>
    <m/>
    <n v="0"/>
    <n v="1"/>
    <n v="896"/>
    <n v="6"/>
    <x v="3"/>
    <n v="1"/>
    <n v="4"/>
    <n v="75"/>
    <n v="3"/>
    <n v="3"/>
    <n v="2"/>
    <n v="13591"/>
    <n v="14674"/>
    <n v="3"/>
    <n v="18"/>
    <n v="3"/>
    <n v="3"/>
    <n v="80"/>
    <n v="0"/>
    <n v="16"/>
    <n v="3"/>
    <n v="1"/>
    <n v="0"/>
    <n v="0"/>
    <n v="0"/>
  </r>
  <r>
    <s v="Yes"/>
    <s v="Travel_Frequently"/>
    <x v="2"/>
    <s v="Ex-Employees"/>
    <x v="0"/>
    <x v="3"/>
    <s v="STAFF-299"/>
    <x v="216"/>
    <x v="0"/>
    <x v="0"/>
    <x v="0"/>
    <s v="No"/>
    <s v="Y"/>
    <n v="5"/>
    <n v="-2"/>
    <n v="0"/>
    <x v="7"/>
    <n v="1"/>
    <n v="1"/>
    <n v="1"/>
    <n v="0"/>
    <n v="334"/>
    <n v="26"/>
    <x v="2"/>
    <n v="1"/>
    <n v="3"/>
    <n v="52"/>
    <n v="2"/>
    <n v="2"/>
    <n v="3"/>
    <n v="6696"/>
    <n v="22967"/>
    <n v="5"/>
    <n v="15"/>
    <n v="3"/>
    <n v="3"/>
    <n v="80"/>
    <n v="0"/>
    <n v="9"/>
    <n v="2"/>
    <n v="6"/>
    <n v="3"/>
    <n v="0"/>
    <n v="1"/>
  </r>
  <r>
    <s v="Yes"/>
    <s v="Travel_Rarely"/>
    <x v="2"/>
    <s v="Ex-Employees"/>
    <x v="1"/>
    <x v="4"/>
    <s v="STAFF-300"/>
    <x v="217"/>
    <x v="1"/>
    <x v="1"/>
    <x v="0"/>
    <s v="No"/>
    <s v="Y"/>
    <n v="1"/>
    <n v="-2"/>
    <n v="0"/>
    <x v="11"/>
    <n v="1"/>
    <n v="1"/>
    <n v="1"/>
    <n v="0"/>
    <n v="992"/>
    <n v="1"/>
    <x v="3"/>
    <n v="1"/>
    <n v="3"/>
    <n v="85"/>
    <n v="3"/>
    <n v="1"/>
    <n v="4"/>
    <n v="2058"/>
    <n v="19757"/>
    <n v="0"/>
    <n v="14"/>
    <n v="3"/>
    <n v="4"/>
    <n v="80"/>
    <n v="0"/>
    <n v="7"/>
    <n v="2"/>
    <n v="6"/>
    <n v="2"/>
    <n v="1"/>
    <n v="5"/>
  </r>
  <r>
    <s v="No"/>
    <s v="Non-Travel"/>
    <x v="1"/>
    <s v="Current Employees"/>
    <x v="0"/>
    <x v="2"/>
    <s v="STAFF-302"/>
    <x v="218"/>
    <x v="0"/>
    <x v="0"/>
    <x v="0"/>
    <s v="No"/>
    <s v="Y"/>
    <n v="2"/>
    <n v="-2"/>
    <n v="0"/>
    <x v="28"/>
    <n v="0"/>
    <m/>
    <n v="0"/>
    <n v="1"/>
    <n v="1052"/>
    <n v="6"/>
    <x v="3"/>
    <n v="1"/>
    <n v="4"/>
    <n v="57"/>
    <n v="2"/>
    <n v="3"/>
    <n v="4"/>
    <n v="8865"/>
    <n v="16840"/>
    <n v="6"/>
    <n v="12"/>
    <n v="3"/>
    <n v="4"/>
    <n v="80"/>
    <n v="0"/>
    <n v="23"/>
    <n v="3"/>
    <n v="19"/>
    <n v="7"/>
    <n v="12"/>
    <n v="8"/>
  </r>
  <r>
    <s v="No"/>
    <s v="Travel_Rarely"/>
    <x v="1"/>
    <s v="Current Employees"/>
    <x v="0"/>
    <x v="3"/>
    <s v="STAFF-303"/>
    <x v="219"/>
    <x v="0"/>
    <x v="0"/>
    <x v="1"/>
    <s v="No"/>
    <s v="Y"/>
    <n v="4"/>
    <n v="-2"/>
    <n v="0"/>
    <x v="33"/>
    <n v="0"/>
    <m/>
    <n v="0"/>
    <n v="1"/>
    <n v="1147"/>
    <n v="3"/>
    <x v="3"/>
    <n v="1"/>
    <n v="4"/>
    <n v="52"/>
    <n v="3"/>
    <n v="2"/>
    <n v="1"/>
    <n v="5940"/>
    <n v="17011"/>
    <n v="2"/>
    <n v="14"/>
    <n v="3"/>
    <n v="4"/>
    <n v="80"/>
    <n v="1"/>
    <n v="16"/>
    <n v="3"/>
    <n v="6"/>
    <n v="2"/>
    <n v="0"/>
    <n v="5"/>
  </r>
  <r>
    <s v="No"/>
    <s v="Travel_Rarely"/>
    <x v="0"/>
    <s v="Current Employees"/>
    <x v="1"/>
    <x v="0"/>
    <s v="STAFF-304"/>
    <x v="220"/>
    <x v="1"/>
    <x v="2"/>
    <x v="0"/>
    <s v="No"/>
    <s v="Y"/>
    <n v="3"/>
    <n v="-2"/>
    <n v="0"/>
    <x v="9"/>
    <n v="0"/>
    <m/>
    <n v="0"/>
    <n v="1"/>
    <n v="1396"/>
    <n v="5"/>
    <x v="0"/>
    <n v="1"/>
    <n v="4"/>
    <n v="62"/>
    <n v="3"/>
    <n v="2"/>
    <n v="2"/>
    <n v="5914"/>
    <n v="9945"/>
    <n v="8"/>
    <n v="16"/>
    <n v="3"/>
    <n v="4"/>
    <n v="80"/>
    <n v="0"/>
    <n v="16"/>
    <n v="4"/>
    <n v="13"/>
    <n v="11"/>
    <n v="3"/>
    <n v="7"/>
  </r>
  <r>
    <s v="No"/>
    <s v="Travel_Rarely"/>
    <x v="2"/>
    <s v="Current Employees"/>
    <x v="1"/>
    <x v="2"/>
    <s v="STAFF-305"/>
    <x v="221"/>
    <x v="0"/>
    <x v="1"/>
    <x v="1"/>
    <s v="No"/>
    <s v="Y"/>
    <n v="3"/>
    <n v="-2"/>
    <n v="0"/>
    <x v="3"/>
    <n v="0"/>
    <m/>
    <n v="0"/>
    <n v="1"/>
    <n v="147"/>
    <n v="4"/>
    <x v="2"/>
    <n v="1"/>
    <n v="3"/>
    <n v="47"/>
    <n v="2"/>
    <n v="1"/>
    <n v="3"/>
    <n v="2622"/>
    <n v="13248"/>
    <n v="6"/>
    <n v="21"/>
    <n v="4"/>
    <n v="4"/>
    <n v="80"/>
    <n v="0"/>
    <n v="7"/>
    <n v="3"/>
    <n v="3"/>
    <n v="2"/>
    <n v="1"/>
    <n v="1"/>
  </r>
  <r>
    <s v="No"/>
    <s v="Travel_Frequently"/>
    <x v="0"/>
    <s v="Current Employees"/>
    <x v="1"/>
    <x v="1"/>
    <s v="STAFF-306"/>
    <x v="222"/>
    <x v="1"/>
    <x v="7"/>
    <x v="2"/>
    <s v="Yes"/>
    <s v="Y"/>
    <n v="1"/>
    <n v="-2"/>
    <n v="0"/>
    <x v="2"/>
    <n v="0"/>
    <m/>
    <n v="0"/>
    <n v="1"/>
    <n v="663"/>
    <n v="11"/>
    <x v="3"/>
    <n v="1"/>
    <n v="2"/>
    <n v="47"/>
    <n v="3"/>
    <n v="3"/>
    <n v="4"/>
    <n v="12185"/>
    <n v="10056"/>
    <n v="1"/>
    <n v="14"/>
    <n v="3"/>
    <n v="3"/>
    <n v="80"/>
    <n v="3"/>
    <n v="10"/>
    <n v="3"/>
    <n v="10"/>
    <n v="8"/>
    <n v="0"/>
    <n v="7"/>
  </r>
  <r>
    <s v="No"/>
    <s v="Travel_Rarely"/>
    <x v="0"/>
    <s v="Current Employees"/>
    <x v="0"/>
    <x v="0"/>
    <s v="STAFF-307"/>
    <x v="223"/>
    <x v="1"/>
    <x v="0"/>
    <x v="2"/>
    <s v="No"/>
    <s v="Y"/>
    <n v="6"/>
    <n v="-2"/>
    <n v="0"/>
    <x v="8"/>
    <n v="0"/>
    <m/>
    <n v="0"/>
    <n v="1"/>
    <n v="119"/>
    <n v="3"/>
    <x v="3"/>
    <n v="1"/>
    <n v="1"/>
    <n v="76"/>
    <n v="3"/>
    <n v="3"/>
    <n v="2"/>
    <n v="10609"/>
    <n v="9647"/>
    <n v="0"/>
    <n v="12"/>
    <n v="3"/>
    <n v="3"/>
    <n v="80"/>
    <n v="2"/>
    <n v="17"/>
    <n v="2"/>
    <n v="16"/>
    <n v="10"/>
    <n v="5"/>
    <n v="13"/>
  </r>
  <r>
    <s v="No"/>
    <s v="Non-Travel"/>
    <x v="2"/>
    <s v="Current Employees"/>
    <x v="1"/>
    <x v="2"/>
    <s v="STAFF-308"/>
    <x v="224"/>
    <x v="1"/>
    <x v="3"/>
    <x v="1"/>
    <s v="No"/>
    <s v="Y"/>
    <n v="2"/>
    <n v="-2"/>
    <n v="0"/>
    <x v="12"/>
    <n v="0"/>
    <m/>
    <n v="0"/>
    <n v="1"/>
    <n v="979"/>
    <n v="1"/>
    <x v="2"/>
    <n v="1"/>
    <n v="3"/>
    <n v="90"/>
    <n v="1"/>
    <n v="2"/>
    <n v="3"/>
    <n v="4345"/>
    <n v="4381"/>
    <n v="0"/>
    <n v="12"/>
    <n v="3"/>
    <n v="4"/>
    <n v="80"/>
    <n v="1"/>
    <n v="6"/>
    <n v="3"/>
    <n v="5"/>
    <n v="4"/>
    <n v="1"/>
    <n v="4"/>
  </r>
  <r>
    <s v="No"/>
    <s v="Travel_Rarely"/>
    <x v="3"/>
    <s v="Current Employees"/>
    <x v="1"/>
    <x v="0"/>
    <s v="STAFF-309"/>
    <x v="225"/>
    <x v="1"/>
    <x v="1"/>
    <x v="1"/>
    <s v="No"/>
    <s v="Y"/>
    <n v="6"/>
    <n v="-2"/>
    <n v="0"/>
    <x v="6"/>
    <n v="0"/>
    <m/>
    <n v="0"/>
    <n v="1"/>
    <n v="142"/>
    <n v="3"/>
    <x v="3"/>
    <n v="1"/>
    <n v="3"/>
    <n v="70"/>
    <n v="2"/>
    <n v="1"/>
    <n v="2"/>
    <n v="2177"/>
    <n v="8456"/>
    <n v="3"/>
    <n v="17"/>
    <n v="3"/>
    <n v="1"/>
    <n v="80"/>
    <n v="1"/>
    <n v="7"/>
    <n v="3"/>
    <n v="1"/>
    <n v="0"/>
    <n v="0"/>
    <n v="0"/>
  </r>
  <r>
    <s v="No"/>
    <s v="Travel_Frequently"/>
    <x v="0"/>
    <s v="Current Employees"/>
    <x v="0"/>
    <x v="3"/>
    <s v="STAFF-311"/>
    <x v="226"/>
    <x v="1"/>
    <x v="6"/>
    <x v="2"/>
    <s v="No"/>
    <s v="Y"/>
    <n v="2"/>
    <n v="-2"/>
    <n v="0"/>
    <x v="2"/>
    <n v="0"/>
    <m/>
    <n v="0"/>
    <n v="1"/>
    <n v="319"/>
    <n v="4"/>
    <x v="2"/>
    <n v="1"/>
    <n v="1"/>
    <n v="41"/>
    <n v="3"/>
    <n v="1"/>
    <n v="1"/>
    <n v="2793"/>
    <n v="2539"/>
    <n v="4"/>
    <n v="17"/>
    <n v="3"/>
    <n v="3"/>
    <n v="80"/>
    <n v="1"/>
    <n v="13"/>
    <n v="3"/>
    <n v="9"/>
    <n v="8"/>
    <n v="5"/>
    <n v="8"/>
  </r>
  <r>
    <s v="No"/>
    <s v="Travel_Frequently"/>
    <x v="2"/>
    <s v="Current Employees"/>
    <x v="0"/>
    <x v="2"/>
    <s v="STAFF-312"/>
    <x v="227"/>
    <x v="0"/>
    <x v="0"/>
    <x v="1"/>
    <s v="No"/>
    <s v="Y"/>
    <n v="5"/>
    <n v="-2"/>
    <n v="0"/>
    <x v="11"/>
    <n v="0"/>
    <m/>
    <n v="0"/>
    <n v="1"/>
    <n v="1413"/>
    <n v="1"/>
    <x v="1"/>
    <n v="1"/>
    <n v="2"/>
    <n v="42"/>
    <n v="3"/>
    <n v="3"/>
    <n v="4"/>
    <n v="7918"/>
    <n v="6599"/>
    <n v="1"/>
    <n v="14"/>
    <n v="3"/>
    <n v="4"/>
    <n v="80"/>
    <n v="1"/>
    <n v="11"/>
    <n v="3"/>
    <n v="11"/>
    <n v="10"/>
    <n v="4"/>
    <n v="1"/>
  </r>
  <r>
    <s v="No"/>
    <s v="Travel_Frequently"/>
    <x v="0"/>
    <s v="Current Employees"/>
    <x v="0"/>
    <x v="3"/>
    <s v="STAFF-314"/>
    <x v="228"/>
    <x v="0"/>
    <x v="0"/>
    <x v="0"/>
    <s v="No"/>
    <s v="Y"/>
    <n v="3"/>
    <n v="-2"/>
    <n v="0"/>
    <x v="10"/>
    <n v="0"/>
    <m/>
    <n v="0"/>
    <n v="1"/>
    <n v="944"/>
    <n v="1"/>
    <x v="3"/>
    <n v="1"/>
    <n v="3"/>
    <n v="92"/>
    <n v="3"/>
    <n v="3"/>
    <n v="1"/>
    <n v="8789"/>
    <n v="9096"/>
    <n v="1"/>
    <n v="14"/>
    <n v="3"/>
    <n v="1"/>
    <n v="80"/>
    <n v="0"/>
    <n v="10"/>
    <n v="4"/>
    <n v="10"/>
    <n v="7"/>
    <n v="0"/>
    <n v="8"/>
  </r>
  <r>
    <s v="Yes"/>
    <s v="Travel_Rarely"/>
    <x v="2"/>
    <s v="Ex-Employees"/>
    <x v="1"/>
    <x v="2"/>
    <s v="STAFF-315"/>
    <x v="229"/>
    <x v="1"/>
    <x v="1"/>
    <x v="0"/>
    <s v="Yes"/>
    <s v="Y"/>
    <n v="3"/>
    <n v="-2"/>
    <n v="0"/>
    <x v="11"/>
    <n v="1"/>
    <n v="1"/>
    <n v="1"/>
    <n v="0"/>
    <n v="896"/>
    <n v="18"/>
    <x v="1"/>
    <n v="1"/>
    <n v="3"/>
    <n v="86"/>
    <n v="2"/>
    <n v="1"/>
    <n v="4"/>
    <n v="2389"/>
    <n v="14961"/>
    <n v="1"/>
    <n v="13"/>
    <n v="3"/>
    <n v="3"/>
    <n v="80"/>
    <n v="0"/>
    <n v="4"/>
    <n v="2"/>
    <n v="4"/>
    <n v="3"/>
    <n v="0"/>
    <n v="1"/>
  </r>
  <r>
    <s v="No"/>
    <s v="Travel_Rarely"/>
    <x v="1"/>
    <s v="Current Employees"/>
    <x v="1"/>
    <x v="0"/>
    <s v="STAFF-316"/>
    <x v="230"/>
    <x v="0"/>
    <x v="2"/>
    <x v="0"/>
    <s v="No"/>
    <s v="Y"/>
    <n v="3"/>
    <n v="-2"/>
    <n v="0"/>
    <x v="39"/>
    <n v="0"/>
    <m/>
    <n v="0"/>
    <n v="1"/>
    <n v="1323"/>
    <n v="2"/>
    <x v="3"/>
    <n v="1"/>
    <n v="3"/>
    <n v="89"/>
    <n v="2"/>
    <n v="1"/>
    <n v="2"/>
    <n v="3212"/>
    <n v="3300"/>
    <n v="7"/>
    <n v="15"/>
    <n v="3"/>
    <n v="2"/>
    <n v="80"/>
    <n v="0"/>
    <n v="6"/>
    <n v="2"/>
    <n v="2"/>
    <n v="2"/>
    <n v="2"/>
    <n v="2"/>
  </r>
  <r>
    <s v="No"/>
    <s v="Travel_Rarely"/>
    <x v="0"/>
    <s v="Current Employees"/>
    <x v="1"/>
    <x v="4"/>
    <s v="STAFF-319"/>
    <x v="231"/>
    <x v="1"/>
    <x v="5"/>
    <x v="1"/>
    <s v="No"/>
    <s v="Y"/>
    <n v="3"/>
    <n v="-2"/>
    <n v="0"/>
    <x v="19"/>
    <n v="0"/>
    <m/>
    <n v="0"/>
    <n v="1"/>
    <n v="532"/>
    <n v="4"/>
    <x v="0"/>
    <n v="1"/>
    <n v="3"/>
    <n v="58"/>
    <n v="3"/>
    <n v="5"/>
    <n v="4"/>
    <n v="19232"/>
    <n v="4933"/>
    <n v="1"/>
    <n v="11"/>
    <n v="3"/>
    <n v="4"/>
    <n v="80"/>
    <n v="0"/>
    <n v="22"/>
    <n v="3"/>
    <n v="22"/>
    <n v="17"/>
    <n v="11"/>
    <n v="15"/>
  </r>
  <r>
    <s v="No"/>
    <s v="Travel_Rarely"/>
    <x v="3"/>
    <s v="Current Employees"/>
    <x v="2"/>
    <x v="2"/>
    <s v="STAFF-321"/>
    <x v="232"/>
    <x v="1"/>
    <x v="8"/>
    <x v="1"/>
    <s v="No"/>
    <s v="Y"/>
    <n v="2"/>
    <n v="-2"/>
    <n v="0"/>
    <x v="6"/>
    <n v="0"/>
    <m/>
    <n v="0"/>
    <n v="1"/>
    <n v="818"/>
    <n v="6"/>
    <x v="0"/>
    <n v="1"/>
    <n v="2"/>
    <n v="52"/>
    <n v="3"/>
    <n v="1"/>
    <n v="3"/>
    <n v="2267"/>
    <n v="25657"/>
    <n v="8"/>
    <n v="17"/>
    <n v="3"/>
    <n v="4"/>
    <n v="80"/>
    <n v="0"/>
    <n v="7"/>
    <n v="2"/>
    <n v="2"/>
    <n v="2"/>
    <n v="2"/>
    <n v="2"/>
  </r>
  <r>
    <s v="No"/>
    <s v="Travel_Rarely"/>
    <x v="1"/>
    <s v="Current Employees"/>
    <x v="0"/>
    <x v="2"/>
    <s v="STAFF-323"/>
    <x v="233"/>
    <x v="0"/>
    <x v="5"/>
    <x v="2"/>
    <s v="No"/>
    <s v="Y"/>
    <n v="3"/>
    <n v="-2"/>
    <n v="0"/>
    <x v="24"/>
    <n v="0"/>
    <m/>
    <n v="0"/>
    <n v="1"/>
    <n v="854"/>
    <n v="1"/>
    <x v="2"/>
    <n v="1"/>
    <n v="4"/>
    <n v="68"/>
    <n v="3"/>
    <n v="5"/>
    <n v="4"/>
    <n v="19517"/>
    <n v="24118"/>
    <n v="3"/>
    <n v="11"/>
    <n v="3"/>
    <n v="3"/>
    <n v="80"/>
    <n v="1"/>
    <n v="32"/>
    <n v="2"/>
    <n v="7"/>
    <n v="0"/>
    <n v="0"/>
    <n v="6"/>
  </r>
  <r>
    <s v="Yes"/>
    <s v="Travel_Rarely"/>
    <x v="2"/>
    <s v="Ex-Employees"/>
    <x v="1"/>
    <x v="2"/>
    <s v="STAFF-325"/>
    <x v="234"/>
    <x v="1"/>
    <x v="2"/>
    <x v="1"/>
    <s v="Yes"/>
    <s v="Y"/>
    <n v="2"/>
    <n v="-2"/>
    <n v="0"/>
    <x v="3"/>
    <n v="1"/>
    <n v="1"/>
    <n v="1"/>
    <n v="0"/>
    <n v="813"/>
    <n v="14"/>
    <x v="3"/>
    <n v="1"/>
    <n v="3"/>
    <n v="58"/>
    <n v="3"/>
    <n v="1"/>
    <n v="4"/>
    <n v="2436"/>
    <n v="22149"/>
    <n v="5"/>
    <n v="13"/>
    <n v="3"/>
    <n v="3"/>
    <n v="80"/>
    <n v="1"/>
    <n v="8"/>
    <n v="1"/>
    <n v="5"/>
    <n v="4"/>
    <n v="0"/>
    <n v="4"/>
  </r>
  <r>
    <s v="No"/>
    <s v="Travel_Rarely"/>
    <x v="0"/>
    <s v="Current Employees"/>
    <x v="0"/>
    <x v="3"/>
    <s v="STAFF-327"/>
    <x v="235"/>
    <x v="0"/>
    <x v="5"/>
    <x v="1"/>
    <s v="Yes"/>
    <s v="Y"/>
    <n v="3"/>
    <n v="-2"/>
    <n v="0"/>
    <x v="23"/>
    <n v="0"/>
    <m/>
    <n v="0"/>
    <n v="1"/>
    <n v="1034"/>
    <n v="16"/>
    <x v="3"/>
    <n v="1"/>
    <n v="4"/>
    <n v="80"/>
    <n v="3"/>
    <n v="4"/>
    <n v="1"/>
    <n v="16064"/>
    <n v="7744"/>
    <n v="5"/>
    <n v="22"/>
    <n v="4"/>
    <n v="3"/>
    <n v="80"/>
    <n v="1"/>
    <n v="22"/>
    <n v="3"/>
    <n v="17"/>
    <n v="13"/>
    <n v="1"/>
    <n v="9"/>
  </r>
  <r>
    <s v="Yes"/>
    <s v="Travel_Rarely"/>
    <x v="2"/>
    <s v="Ex-Employees"/>
    <x v="1"/>
    <x v="0"/>
    <s v="STAFF-328"/>
    <x v="236"/>
    <x v="0"/>
    <x v="2"/>
    <x v="1"/>
    <s v="No"/>
    <s v="Y"/>
    <n v="3"/>
    <n v="-2"/>
    <n v="0"/>
    <x v="3"/>
    <n v="1"/>
    <n v="1"/>
    <n v="1"/>
    <n v="0"/>
    <n v="465"/>
    <n v="2"/>
    <x v="0"/>
    <n v="1"/>
    <n v="1"/>
    <n v="39"/>
    <n v="3"/>
    <n v="1"/>
    <n v="2"/>
    <n v="2707"/>
    <n v="21509"/>
    <n v="7"/>
    <n v="20"/>
    <n v="4"/>
    <n v="1"/>
    <n v="80"/>
    <n v="0"/>
    <n v="13"/>
    <n v="4"/>
    <n v="9"/>
    <n v="7"/>
    <n v="1"/>
    <n v="7"/>
  </r>
  <r>
    <s v="No"/>
    <s v="Non-Travel"/>
    <x v="1"/>
    <s v="Current Employees"/>
    <x v="0"/>
    <x v="0"/>
    <s v="STAFF-329"/>
    <x v="237"/>
    <x v="1"/>
    <x v="5"/>
    <x v="0"/>
    <s v="Yes"/>
    <s v="Y"/>
    <n v="2"/>
    <n v="-2"/>
    <n v="0"/>
    <x v="39"/>
    <n v="0"/>
    <m/>
    <n v="0"/>
    <n v="1"/>
    <n v="771"/>
    <n v="2"/>
    <x v="2"/>
    <n v="1"/>
    <n v="1"/>
    <n v="79"/>
    <n v="2"/>
    <n v="5"/>
    <n v="2"/>
    <n v="19068"/>
    <n v="21030"/>
    <n v="1"/>
    <n v="18"/>
    <n v="3"/>
    <n v="4"/>
    <n v="80"/>
    <n v="0"/>
    <n v="33"/>
    <n v="4"/>
    <n v="33"/>
    <n v="7"/>
    <n v="15"/>
    <n v="12"/>
  </r>
  <r>
    <s v="No"/>
    <s v="Travel_Rarely"/>
    <x v="2"/>
    <s v="Current Employees"/>
    <x v="0"/>
    <x v="0"/>
    <s v="STAFF-330"/>
    <x v="238"/>
    <x v="0"/>
    <x v="6"/>
    <x v="1"/>
    <s v="No"/>
    <s v="Y"/>
    <n v="5"/>
    <n v="-2"/>
    <n v="0"/>
    <x v="5"/>
    <n v="0"/>
    <m/>
    <n v="0"/>
    <n v="1"/>
    <n v="1401"/>
    <n v="4"/>
    <x v="0"/>
    <n v="1"/>
    <n v="3"/>
    <n v="56"/>
    <n v="3"/>
    <n v="1"/>
    <n v="2"/>
    <n v="3931"/>
    <n v="20990"/>
    <n v="2"/>
    <n v="11"/>
    <n v="3"/>
    <n v="1"/>
    <n v="80"/>
    <n v="1"/>
    <n v="6"/>
    <n v="3"/>
    <n v="4"/>
    <n v="3"/>
    <n v="1"/>
    <n v="2"/>
  </r>
  <r>
    <s v="Yes"/>
    <s v="Travel_Rarely"/>
    <x v="2"/>
    <s v="Ex-Employees"/>
    <x v="1"/>
    <x v="0"/>
    <s v="STAFF-331"/>
    <x v="239"/>
    <x v="1"/>
    <x v="2"/>
    <x v="0"/>
    <s v="Yes"/>
    <s v="Y"/>
    <n v="2"/>
    <n v="-2"/>
    <n v="0"/>
    <x v="5"/>
    <n v="1"/>
    <n v="1"/>
    <n v="1"/>
    <n v="0"/>
    <n v="515"/>
    <n v="1"/>
    <x v="3"/>
    <n v="1"/>
    <n v="4"/>
    <n v="62"/>
    <n v="2"/>
    <n v="1"/>
    <n v="2"/>
    <n v="3730"/>
    <n v="9571"/>
    <n v="0"/>
    <n v="14"/>
    <n v="3"/>
    <n v="4"/>
    <n v="80"/>
    <n v="0"/>
    <n v="4"/>
    <n v="1"/>
    <n v="3"/>
    <n v="2"/>
    <n v="1"/>
    <n v="2"/>
  </r>
  <r>
    <s v="No"/>
    <s v="Travel_Rarely"/>
    <x v="0"/>
    <s v="Current Employees"/>
    <x v="1"/>
    <x v="2"/>
    <s v="STAFF-332"/>
    <x v="240"/>
    <x v="0"/>
    <x v="2"/>
    <x v="2"/>
    <s v="No"/>
    <s v="Y"/>
    <n v="1"/>
    <n v="-2"/>
    <n v="0"/>
    <x v="22"/>
    <n v="0"/>
    <m/>
    <n v="0"/>
    <n v="1"/>
    <n v="1431"/>
    <n v="1"/>
    <x v="2"/>
    <n v="1"/>
    <n v="3"/>
    <n v="96"/>
    <n v="3"/>
    <n v="1"/>
    <n v="3"/>
    <n v="2232"/>
    <n v="15417"/>
    <n v="7"/>
    <n v="14"/>
    <n v="3"/>
    <n v="3"/>
    <n v="80"/>
    <n v="3"/>
    <n v="7"/>
    <n v="3"/>
    <n v="3"/>
    <n v="2"/>
    <n v="1"/>
    <n v="2"/>
  </r>
  <r>
    <s v="No"/>
    <s v="Non-Travel"/>
    <x v="2"/>
    <s v="Current Employees"/>
    <x v="0"/>
    <x v="3"/>
    <s v="STAFF-333"/>
    <x v="241"/>
    <x v="1"/>
    <x v="0"/>
    <x v="1"/>
    <s v="No"/>
    <s v="Y"/>
    <n v="2"/>
    <n v="-2"/>
    <n v="0"/>
    <x v="5"/>
    <n v="0"/>
    <m/>
    <n v="0"/>
    <n v="1"/>
    <n v="976"/>
    <n v="26"/>
    <x v="2"/>
    <n v="1"/>
    <n v="3"/>
    <n v="100"/>
    <n v="3"/>
    <n v="2"/>
    <n v="1"/>
    <n v="4465"/>
    <n v="12069"/>
    <n v="0"/>
    <n v="18"/>
    <n v="3"/>
    <n v="1"/>
    <n v="80"/>
    <n v="0"/>
    <n v="4"/>
    <n v="3"/>
    <n v="3"/>
    <n v="2"/>
    <n v="2"/>
    <n v="2"/>
  </r>
  <r>
    <s v="No"/>
    <s v="Travel_Rarely"/>
    <x v="0"/>
    <s v="Current Employees"/>
    <x v="1"/>
    <x v="0"/>
    <s v="STAFF-334"/>
    <x v="242"/>
    <x v="1"/>
    <x v="1"/>
    <x v="2"/>
    <s v="No"/>
    <s v="Y"/>
    <n v="2"/>
    <n v="-2"/>
    <n v="0"/>
    <x v="0"/>
    <n v="0"/>
    <m/>
    <n v="0"/>
    <n v="1"/>
    <n v="1411"/>
    <n v="19"/>
    <x v="0"/>
    <n v="1"/>
    <n v="3"/>
    <n v="36"/>
    <n v="3"/>
    <n v="2"/>
    <n v="2"/>
    <n v="3072"/>
    <n v="19877"/>
    <n v="2"/>
    <n v="16"/>
    <n v="3"/>
    <n v="1"/>
    <n v="80"/>
    <n v="2"/>
    <n v="17"/>
    <n v="2"/>
    <n v="1"/>
    <n v="0"/>
    <n v="0"/>
    <n v="0"/>
  </r>
  <r>
    <s v="No"/>
    <s v="Travel_Rarely"/>
    <x v="0"/>
    <s v="Current Employees"/>
    <x v="1"/>
    <x v="4"/>
    <s v="STAFF-335"/>
    <x v="243"/>
    <x v="1"/>
    <x v="1"/>
    <x v="2"/>
    <s v="No"/>
    <s v="Y"/>
    <n v="3"/>
    <n v="-2"/>
    <n v="0"/>
    <x v="32"/>
    <n v="0"/>
    <m/>
    <n v="0"/>
    <n v="1"/>
    <n v="1300"/>
    <n v="24"/>
    <x v="0"/>
    <n v="1"/>
    <n v="4"/>
    <n v="62"/>
    <n v="3"/>
    <n v="2"/>
    <n v="4"/>
    <n v="3319"/>
    <n v="24447"/>
    <n v="1"/>
    <n v="17"/>
    <n v="3"/>
    <n v="1"/>
    <n v="80"/>
    <n v="2"/>
    <n v="9"/>
    <n v="3"/>
    <n v="9"/>
    <n v="8"/>
    <n v="4"/>
    <n v="7"/>
  </r>
  <r>
    <s v="No"/>
    <s v="Travel_Rarely"/>
    <x v="1"/>
    <s v="Current Employees"/>
    <x v="1"/>
    <x v="1"/>
    <s v="STAFF-336"/>
    <x v="244"/>
    <x v="1"/>
    <x v="5"/>
    <x v="1"/>
    <s v="No"/>
    <s v="Y"/>
    <n v="2"/>
    <n v="-2"/>
    <n v="0"/>
    <x v="28"/>
    <n v="0"/>
    <m/>
    <n v="0"/>
    <n v="1"/>
    <n v="252"/>
    <n v="1"/>
    <x v="3"/>
    <n v="1"/>
    <n v="3"/>
    <n v="70"/>
    <n v="4"/>
    <n v="5"/>
    <n v="4"/>
    <n v="19202"/>
    <n v="15970"/>
    <n v="0"/>
    <n v="11"/>
    <n v="3"/>
    <n v="3"/>
    <n v="80"/>
    <n v="1"/>
    <n v="25"/>
    <n v="3"/>
    <n v="24"/>
    <n v="0"/>
    <n v="1"/>
    <n v="7"/>
  </r>
  <r>
    <s v="No"/>
    <s v="Travel_Frequently"/>
    <x v="2"/>
    <s v="Current Employees"/>
    <x v="1"/>
    <x v="2"/>
    <s v="STAFF-337"/>
    <x v="245"/>
    <x v="1"/>
    <x v="7"/>
    <x v="2"/>
    <s v="No"/>
    <s v="Y"/>
    <n v="3"/>
    <n v="-2"/>
    <n v="0"/>
    <x v="12"/>
    <n v="0"/>
    <m/>
    <n v="0"/>
    <n v="1"/>
    <n v="1327"/>
    <n v="3"/>
    <x v="2"/>
    <n v="1"/>
    <n v="2"/>
    <n v="73"/>
    <n v="3"/>
    <n v="3"/>
    <n v="3"/>
    <n v="13675"/>
    <n v="13523"/>
    <n v="9"/>
    <n v="12"/>
    <n v="3"/>
    <n v="1"/>
    <n v="80"/>
    <n v="1"/>
    <n v="9"/>
    <n v="3"/>
    <n v="2"/>
    <n v="2"/>
    <n v="2"/>
    <n v="2"/>
  </r>
  <r>
    <s v="No"/>
    <s v="Travel_Rarely"/>
    <x v="2"/>
    <s v="Current Employees"/>
    <x v="1"/>
    <x v="0"/>
    <s v="STAFF-338"/>
    <x v="246"/>
    <x v="0"/>
    <x v="1"/>
    <x v="1"/>
    <s v="No"/>
    <s v="Y"/>
    <n v="2"/>
    <n v="-2"/>
    <n v="0"/>
    <x v="3"/>
    <n v="0"/>
    <m/>
    <n v="0"/>
    <n v="1"/>
    <n v="832"/>
    <n v="5"/>
    <x v="2"/>
    <n v="1"/>
    <n v="3"/>
    <n v="63"/>
    <n v="2"/>
    <n v="1"/>
    <n v="2"/>
    <n v="2911"/>
    <n v="14776"/>
    <n v="1"/>
    <n v="13"/>
    <n v="3"/>
    <n v="3"/>
    <n v="80"/>
    <n v="1"/>
    <n v="2"/>
    <n v="2"/>
    <n v="2"/>
    <n v="2"/>
    <n v="0"/>
    <n v="2"/>
  </r>
  <r>
    <s v="No"/>
    <s v="Travel_Rarely"/>
    <x v="2"/>
    <s v="Current Employees"/>
    <x v="1"/>
    <x v="0"/>
    <s v="STAFF-339"/>
    <x v="247"/>
    <x v="1"/>
    <x v="3"/>
    <x v="1"/>
    <s v="No"/>
    <s v="Y"/>
    <n v="3"/>
    <n v="-2"/>
    <n v="0"/>
    <x v="13"/>
    <n v="0"/>
    <m/>
    <n v="0"/>
    <n v="1"/>
    <n v="470"/>
    <n v="2"/>
    <x v="2"/>
    <n v="1"/>
    <n v="4"/>
    <n v="84"/>
    <n v="2"/>
    <n v="2"/>
    <n v="2"/>
    <n v="5957"/>
    <n v="23687"/>
    <n v="6"/>
    <n v="13"/>
    <n v="3"/>
    <n v="2"/>
    <n v="80"/>
    <n v="1"/>
    <n v="13"/>
    <n v="3"/>
    <n v="11"/>
    <n v="9"/>
    <n v="5"/>
    <n v="9"/>
  </r>
  <r>
    <s v="No"/>
    <s v="Travel_Rarely"/>
    <x v="0"/>
    <s v="Current Employees"/>
    <x v="1"/>
    <x v="2"/>
    <s v="STAFF-340"/>
    <x v="248"/>
    <x v="0"/>
    <x v="1"/>
    <x v="1"/>
    <s v="No"/>
    <s v="Y"/>
    <n v="2"/>
    <n v="-2"/>
    <n v="0"/>
    <x v="2"/>
    <n v="0"/>
    <m/>
    <n v="0"/>
    <n v="1"/>
    <n v="1017"/>
    <n v="1"/>
    <x v="0"/>
    <n v="1"/>
    <n v="3"/>
    <n v="83"/>
    <n v="2"/>
    <n v="1"/>
    <n v="3"/>
    <n v="3920"/>
    <n v="18697"/>
    <n v="2"/>
    <n v="14"/>
    <n v="3"/>
    <n v="1"/>
    <n v="80"/>
    <n v="1"/>
    <n v="17"/>
    <n v="2"/>
    <n v="3"/>
    <n v="1"/>
    <n v="0"/>
    <n v="2"/>
  </r>
  <r>
    <s v="No"/>
    <s v="Travel_Frequently"/>
    <x v="1"/>
    <s v="Current Employees"/>
    <x v="1"/>
    <x v="0"/>
    <s v="STAFF-341"/>
    <x v="249"/>
    <x v="1"/>
    <x v="3"/>
    <x v="1"/>
    <s v="No"/>
    <s v="Y"/>
    <n v="1"/>
    <n v="-2"/>
    <n v="0"/>
    <x v="28"/>
    <n v="0"/>
    <m/>
    <n v="0"/>
    <n v="1"/>
    <n v="1199"/>
    <n v="7"/>
    <x v="2"/>
    <n v="1"/>
    <n v="1"/>
    <n v="77"/>
    <n v="4"/>
    <n v="2"/>
    <n v="2"/>
    <n v="6434"/>
    <n v="5118"/>
    <n v="4"/>
    <n v="17"/>
    <n v="3"/>
    <n v="4"/>
    <n v="80"/>
    <n v="1"/>
    <n v="9"/>
    <n v="3"/>
    <n v="3"/>
    <n v="2"/>
    <n v="0"/>
    <n v="2"/>
  </r>
  <r>
    <s v="Yes"/>
    <s v="Travel_Frequently"/>
    <x v="0"/>
    <s v="Ex-Employees"/>
    <x v="1"/>
    <x v="2"/>
    <s v="STAFF-342"/>
    <x v="250"/>
    <x v="1"/>
    <x v="3"/>
    <x v="2"/>
    <s v="No"/>
    <s v="Y"/>
    <n v="5"/>
    <n v="-2"/>
    <n v="0"/>
    <x v="2"/>
    <n v="1"/>
    <n v="1"/>
    <n v="1"/>
    <n v="0"/>
    <n v="504"/>
    <n v="10"/>
    <x v="3"/>
    <n v="1"/>
    <n v="1"/>
    <n v="61"/>
    <n v="3"/>
    <n v="3"/>
    <n v="3"/>
    <n v="10048"/>
    <n v="22573"/>
    <n v="6"/>
    <n v="11"/>
    <n v="3"/>
    <n v="2"/>
    <n v="80"/>
    <n v="2"/>
    <n v="17"/>
    <n v="3"/>
    <n v="1"/>
    <n v="0"/>
    <n v="0"/>
    <n v="0"/>
  </r>
  <r>
    <s v="No"/>
    <s v="Travel_Frequently"/>
    <x v="0"/>
    <s v="Current Employees"/>
    <x v="1"/>
    <x v="4"/>
    <s v="STAFF-343"/>
    <x v="251"/>
    <x v="0"/>
    <x v="4"/>
    <x v="0"/>
    <s v="No"/>
    <s v="Y"/>
    <n v="1"/>
    <n v="-2"/>
    <n v="0"/>
    <x v="22"/>
    <n v="0"/>
    <m/>
    <n v="0"/>
    <n v="1"/>
    <n v="505"/>
    <n v="2"/>
    <x v="2"/>
    <n v="1"/>
    <n v="4"/>
    <n v="64"/>
    <n v="3"/>
    <n v="3"/>
    <n v="4"/>
    <n v="10938"/>
    <n v="6420"/>
    <n v="0"/>
    <n v="25"/>
    <n v="4"/>
    <n v="4"/>
    <n v="80"/>
    <n v="0"/>
    <n v="20"/>
    <n v="3"/>
    <n v="19"/>
    <n v="6"/>
    <n v="11"/>
    <n v="8"/>
  </r>
  <r>
    <s v="No"/>
    <s v="Travel_Rarely"/>
    <x v="2"/>
    <s v="Current Employees"/>
    <x v="1"/>
    <x v="0"/>
    <s v="STAFF-346"/>
    <x v="252"/>
    <x v="1"/>
    <x v="1"/>
    <x v="0"/>
    <s v="No"/>
    <s v="Y"/>
    <n v="1"/>
    <n v="-2"/>
    <n v="0"/>
    <x v="11"/>
    <n v="0"/>
    <m/>
    <n v="0"/>
    <n v="1"/>
    <n v="665"/>
    <n v="15"/>
    <x v="3"/>
    <n v="1"/>
    <n v="3"/>
    <n v="60"/>
    <n v="3"/>
    <n v="1"/>
    <n v="2"/>
    <n v="2340"/>
    <n v="22673"/>
    <n v="1"/>
    <n v="19"/>
    <n v="3"/>
    <n v="1"/>
    <n v="80"/>
    <n v="0"/>
    <n v="6"/>
    <n v="3"/>
    <n v="6"/>
    <n v="5"/>
    <n v="1"/>
    <n v="5"/>
  </r>
  <r>
    <s v="No"/>
    <s v="Travel_Rarely"/>
    <x v="0"/>
    <s v="Current Employees"/>
    <x v="1"/>
    <x v="0"/>
    <s v="STAFF-347"/>
    <x v="253"/>
    <x v="0"/>
    <x v="1"/>
    <x v="0"/>
    <s v="Yes"/>
    <s v="Y"/>
    <n v="1"/>
    <n v="-2"/>
    <n v="0"/>
    <x v="19"/>
    <n v="0"/>
    <m/>
    <n v="0"/>
    <n v="1"/>
    <n v="916"/>
    <n v="17"/>
    <x v="0"/>
    <n v="1"/>
    <n v="4"/>
    <n v="82"/>
    <n v="4"/>
    <n v="2"/>
    <n v="2"/>
    <n v="6545"/>
    <n v="23016"/>
    <n v="3"/>
    <n v="13"/>
    <n v="3"/>
    <n v="3"/>
    <n v="80"/>
    <n v="0"/>
    <n v="10"/>
    <n v="3"/>
    <n v="3"/>
    <n v="2"/>
    <n v="0"/>
    <n v="2"/>
  </r>
  <r>
    <s v="No"/>
    <s v="Travel_Rarely"/>
    <x v="2"/>
    <s v="Current Employees"/>
    <x v="0"/>
    <x v="3"/>
    <s v="STAFF-349"/>
    <x v="254"/>
    <x v="1"/>
    <x v="0"/>
    <x v="2"/>
    <s v="No"/>
    <s v="Y"/>
    <n v="2"/>
    <n v="-2"/>
    <n v="0"/>
    <x v="11"/>
    <n v="0"/>
    <m/>
    <n v="0"/>
    <n v="1"/>
    <n v="1247"/>
    <n v="20"/>
    <x v="0"/>
    <n v="1"/>
    <n v="4"/>
    <n v="45"/>
    <n v="3"/>
    <n v="2"/>
    <n v="1"/>
    <n v="6931"/>
    <n v="10732"/>
    <n v="2"/>
    <n v="14"/>
    <n v="3"/>
    <n v="4"/>
    <n v="80"/>
    <n v="1"/>
    <n v="10"/>
    <n v="3"/>
    <n v="3"/>
    <n v="2"/>
    <n v="0"/>
    <n v="2"/>
  </r>
  <r>
    <s v="No"/>
    <s v="Travel_Rarely"/>
    <x v="2"/>
    <s v="Current Employees"/>
    <x v="1"/>
    <x v="0"/>
    <s v="STAFF-350"/>
    <x v="255"/>
    <x v="0"/>
    <x v="3"/>
    <x v="1"/>
    <s v="No"/>
    <s v="Y"/>
    <n v="3"/>
    <n v="-2"/>
    <n v="0"/>
    <x v="36"/>
    <n v="0"/>
    <m/>
    <n v="0"/>
    <n v="1"/>
    <n v="685"/>
    <n v="1"/>
    <x v="3"/>
    <n v="1"/>
    <n v="1"/>
    <n v="62"/>
    <n v="3"/>
    <n v="2"/>
    <n v="2"/>
    <n v="4898"/>
    <n v="7505"/>
    <n v="0"/>
    <n v="12"/>
    <n v="3"/>
    <n v="4"/>
    <n v="80"/>
    <n v="2"/>
    <n v="5"/>
    <n v="3"/>
    <n v="4"/>
    <n v="2"/>
    <n v="1"/>
    <n v="2"/>
  </r>
  <r>
    <s v="No"/>
    <s v="Travel_Rarely"/>
    <x v="0"/>
    <s v="Current Employees"/>
    <x v="1"/>
    <x v="2"/>
    <s v="STAFF-351"/>
    <x v="256"/>
    <x v="0"/>
    <x v="2"/>
    <x v="2"/>
    <s v="Yes"/>
    <s v="Y"/>
    <n v="4"/>
    <n v="-2"/>
    <n v="0"/>
    <x v="19"/>
    <n v="0"/>
    <m/>
    <n v="0"/>
    <n v="1"/>
    <n v="269"/>
    <n v="2"/>
    <x v="3"/>
    <n v="1"/>
    <n v="4"/>
    <n v="56"/>
    <n v="2"/>
    <n v="1"/>
    <n v="3"/>
    <n v="2593"/>
    <n v="8007"/>
    <n v="0"/>
    <n v="11"/>
    <n v="3"/>
    <n v="3"/>
    <n v="80"/>
    <n v="1"/>
    <n v="10"/>
    <n v="3"/>
    <n v="9"/>
    <n v="6"/>
    <n v="7"/>
    <n v="8"/>
  </r>
  <r>
    <s v="No"/>
    <s v="Travel_Rarely"/>
    <x v="0"/>
    <s v="Current Employees"/>
    <x v="1"/>
    <x v="2"/>
    <s v="STAFF-352"/>
    <x v="257"/>
    <x v="1"/>
    <x v="7"/>
    <x v="2"/>
    <s v="No"/>
    <s v="Y"/>
    <n v="5"/>
    <n v="-2"/>
    <n v="0"/>
    <x v="32"/>
    <n v="0"/>
    <m/>
    <n v="0"/>
    <n v="1"/>
    <n v="1416"/>
    <n v="2"/>
    <x v="0"/>
    <n v="1"/>
    <n v="1"/>
    <n v="49"/>
    <n v="3"/>
    <n v="5"/>
    <n v="3"/>
    <n v="19436"/>
    <n v="5949"/>
    <n v="0"/>
    <n v="19"/>
    <n v="3"/>
    <n v="4"/>
    <n v="80"/>
    <n v="1"/>
    <n v="22"/>
    <n v="3"/>
    <n v="21"/>
    <n v="7"/>
    <n v="3"/>
    <n v="9"/>
  </r>
  <r>
    <s v="No"/>
    <s v="Travel_Rarely"/>
    <x v="1"/>
    <s v="Current Employees"/>
    <x v="1"/>
    <x v="0"/>
    <s v="STAFF-353"/>
    <x v="258"/>
    <x v="1"/>
    <x v="1"/>
    <x v="1"/>
    <s v="No"/>
    <s v="Y"/>
    <n v="0"/>
    <n v="-2"/>
    <n v="0"/>
    <x v="31"/>
    <n v="0"/>
    <m/>
    <n v="0"/>
    <n v="1"/>
    <n v="833"/>
    <n v="1"/>
    <x v="3"/>
    <n v="1"/>
    <n v="3"/>
    <n v="96"/>
    <n v="3"/>
    <n v="1"/>
    <n v="2"/>
    <n v="2723"/>
    <n v="23231"/>
    <n v="1"/>
    <n v="11"/>
    <n v="3"/>
    <n v="2"/>
    <n v="80"/>
    <n v="0"/>
    <n v="1"/>
    <n v="2"/>
    <n v="1"/>
    <n v="0"/>
    <n v="0"/>
    <n v="0"/>
  </r>
  <r>
    <s v="Yes"/>
    <s v="Travel_Frequently"/>
    <x v="2"/>
    <s v="Ex-Employees"/>
    <x v="1"/>
    <x v="2"/>
    <s v="STAFF-355"/>
    <x v="259"/>
    <x v="1"/>
    <x v="2"/>
    <x v="0"/>
    <s v="No"/>
    <s v="Y"/>
    <n v="2"/>
    <n v="-2"/>
    <n v="0"/>
    <x v="12"/>
    <n v="1"/>
    <n v="1"/>
    <n v="1"/>
    <n v="0"/>
    <n v="307"/>
    <n v="29"/>
    <x v="0"/>
    <n v="1"/>
    <n v="3"/>
    <n v="71"/>
    <n v="2"/>
    <n v="1"/>
    <n v="3"/>
    <n v="3479"/>
    <n v="11652"/>
    <n v="0"/>
    <n v="11"/>
    <n v="3"/>
    <n v="2"/>
    <n v="80"/>
    <n v="0"/>
    <n v="6"/>
    <n v="4"/>
    <n v="5"/>
    <n v="4"/>
    <n v="1"/>
    <n v="4"/>
  </r>
  <r>
    <s v="No"/>
    <s v="Travel_Frequently"/>
    <x v="2"/>
    <s v="Current Employees"/>
    <x v="1"/>
    <x v="0"/>
    <s v="STAFF-359"/>
    <x v="260"/>
    <x v="1"/>
    <x v="2"/>
    <x v="1"/>
    <s v="No"/>
    <s v="Y"/>
    <n v="3"/>
    <n v="-2"/>
    <n v="0"/>
    <x v="5"/>
    <n v="0"/>
    <m/>
    <n v="0"/>
    <n v="1"/>
    <n v="1311"/>
    <n v="7"/>
    <x v="3"/>
    <n v="1"/>
    <n v="2"/>
    <n v="100"/>
    <n v="4"/>
    <n v="1"/>
    <n v="2"/>
    <n v="2794"/>
    <n v="26062"/>
    <n v="1"/>
    <n v="20"/>
    <n v="4"/>
    <n v="3"/>
    <n v="80"/>
    <n v="0"/>
    <n v="5"/>
    <n v="1"/>
    <n v="5"/>
    <n v="1"/>
    <n v="0"/>
    <n v="3"/>
  </r>
  <r>
    <s v="No"/>
    <s v="Non-Travel"/>
    <x v="0"/>
    <s v="Current Employees"/>
    <x v="0"/>
    <x v="0"/>
    <s v="STAFF-361"/>
    <x v="261"/>
    <x v="1"/>
    <x v="0"/>
    <x v="1"/>
    <s v="No"/>
    <s v="Y"/>
    <n v="0"/>
    <n v="-2"/>
    <n v="0"/>
    <x v="8"/>
    <n v="0"/>
    <m/>
    <n v="0"/>
    <n v="1"/>
    <n v="1327"/>
    <n v="2"/>
    <x v="0"/>
    <n v="1"/>
    <n v="4"/>
    <n v="39"/>
    <n v="2"/>
    <n v="2"/>
    <n v="2"/>
    <n v="5249"/>
    <n v="19682"/>
    <n v="3"/>
    <n v="18"/>
    <n v="3"/>
    <n v="4"/>
    <n v="80"/>
    <n v="1"/>
    <n v="13"/>
    <n v="3"/>
    <n v="8"/>
    <n v="7"/>
    <n v="7"/>
    <n v="5"/>
  </r>
  <r>
    <s v="No"/>
    <s v="Travel_Rarely"/>
    <x v="2"/>
    <s v="Current Employees"/>
    <x v="1"/>
    <x v="4"/>
    <s v="STAFF-362"/>
    <x v="262"/>
    <x v="1"/>
    <x v="2"/>
    <x v="0"/>
    <s v="No"/>
    <s v="Y"/>
    <n v="5"/>
    <n v="-2"/>
    <n v="0"/>
    <x v="5"/>
    <n v="0"/>
    <m/>
    <n v="0"/>
    <n v="1"/>
    <n v="128"/>
    <n v="2"/>
    <x v="1"/>
    <n v="1"/>
    <n v="4"/>
    <n v="84"/>
    <n v="2"/>
    <n v="2"/>
    <n v="4"/>
    <n v="2176"/>
    <n v="19737"/>
    <n v="4"/>
    <n v="13"/>
    <n v="3"/>
    <n v="4"/>
    <n v="80"/>
    <n v="0"/>
    <n v="9"/>
    <n v="3"/>
    <n v="6"/>
    <n v="2"/>
    <n v="0"/>
    <n v="4"/>
  </r>
  <r>
    <s v="No"/>
    <s v="Travel_Rarely"/>
    <x v="1"/>
    <s v="Current Employees"/>
    <x v="0"/>
    <x v="4"/>
    <s v="STAFF-363"/>
    <x v="263"/>
    <x v="0"/>
    <x v="5"/>
    <x v="1"/>
    <s v="Yes"/>
    <s v="Y"/>
    <n v="2"/>
    <n v="-2"/>
    <n v="0"/>
    <x v="21"/>
    <n v="0"/>
    <m/>
    <n v="0"/>
    <n v="1"/>
    <n v="488"/>
    <n v="2"/>
    <x v="3"/>
    <n v="1"/>
    <n v="4"/>
    <n v="75"/>
    <n v="1"/>
    <n v="4"/>
    <n v="4"/>
    <n v="16872"/>
    <n v="14977"/>
    <n v="3"/>
    <n v="12"/>
    <n v="3"/>
    <n v="2"/>
    <n v="80"/>
    <n v="1"/>
    <n v="28"/>
    <n v="2"/>
    <n v="7"/>
    <n v="7"/>
    <n v="7"/>
    <n v="7"/>
  </r>
  <r>
    <s v="Yes"/>
    <s v="Travel_Rarely"/>
    <x v="2"/>
    <s v="Ex-Employees"/>
    <x v="1"/>
    <x v="0"/>
    <s v="STAFF-364"/>
    <x v="264"/>
    <x v="1"/>
    <x v="2"/>
    <x v="0"/>
    <s v="No"/>
    <s v="Y"/>
    <n v="5"/>
    <n v="-2"/>
    <n v="0"/>
    <x v="14"/>
    <n v="1"/>
    <n v="1"/>
    <n v="1"/>
    <n v="0"/>
    <n v="529"/>
    <n v="2"/>
    <x v="2"/>
    <n v="1"/>
    <n v="1"/>
    <n v="79"/>
    <n v="3"/>
    <n v="1"/>
    <n v="2"/>
    <n v="3485"/>
    <n v="14935"/>
    <n v="2"/>
    <n v="11"/>
    <n v="3"/>
    <n v="3"/>
    <n v="80"/>
    <n v="0"/>
    <n v="5"/>
    <n v="1"/>
    <n v="0"/>
    <n v="0"/>
    <n v="0"/>
    <n v="0"/>
  </r>
  <r>
    <s v="No"/>
    <s v="Travel_Rarely"/>
    <x v="2"/>
    <s v="Current Employees"/>
    <x v="0"/>
    <x v="2"/>
    <s v="STAFF-366"/>
    <x v="265"/>
    <x v="1"/>
    <x v="0"/>
    <x v="1"/>
    <s v="No"/>
    <s v="Y"/>
    <n v="2"/>
    <n v="-2"/>
    <n v="0"/>
    <x v="11"/>
    <n v="0"/>
    <m/>
    <n v="0"/>
    <n v="1"/>
    <n v="1210"/>
    <n v="2"/>
    <x v="3"/>
    <n v="1"/>
    <n v="1"/>
    <n v="78"/>
    <n v="2"/>
    <n v="2"/>
    <n v="3"/>
    <n v="6644"/>
    <n v="3687"/>
    <n v="2"/>
    <n v="19"/>
    <n v="3"/>
    <n v="2"/>
    <n v="80"/>
    <n v="2"/>
    <n v="10"/>
    <n v="3"/>
    <n v="0"/>
    <n v="0"/>
    <n v="0"/>
    <n v="0"/>
  </r>
  <r>
    <s v="No"/>
    <s v="Travel_Rarely"/>
    <x v="2"/>
    <s v="Current Employees"/>
    <x v="1"/>
    <x v="2"/>
    <s v="STAFF-367"/>
    <x v="266"/>
    <x v="1"/>
    <x v="4"/>
    <x v="1"/>
    <s v="No"/>
    <s v="Y"/>
    <n v="2"/>
    <n v="-2"/>
    <n v="0"/>
    <x v="12"/>
    <n v="0"/>
    <m/>
    <n v="0"/>
    <n v="1"/>
    <n v="1463"/>
    <n v="23"/>
    <x v="3"/>
    <n v="1"/>
    <n v="2"/>
    <n v="64"/>
    <n v="2"/>
    <n v="2"/>
    <n v="4"/>
    <n v="5582"/>
    <n v="14408"/>
    <n v="0"/>
    <n v="21"/>
    <n v="4"/>
    <n v="2"/>
    <n v="80"/>
    <n v="1"/>
    <n v="10"/>
    <n v="3"/>
    <n v="9"/>
    <n v="0"/>
    <n v="7"/>
    <n v="8"/>
  </r>
  <r>
    <s v="No"/>
    <s v="Non-Travel"/>
    <x v="2"/>
    <s v="Current Employees"/>
    <x v="1"/>
    <x v="0"/>
    <s v="STAFF-369"/>
    <x v="267"/>
    <x v="1"/>
    <x v="4"/>
    <x v="2"/>
    <s v="No"/>
    <s v="Y"/>
    <n v="2"/>
    <n v="-2"/>
    <n v="0"/>
    <x v="36"/>
    <n v="0"/>
    <m/>
    <n v="0"/>
    <n v="1"/>
    <n v="675"/>
    <n v="5"/>
    <x v="0"/>
    <n v="1"/>
    <n v="2"/>
    <n v="85"/>
    <n v="4"/>
    <n v="2"/>
    <n v="2"/>
    <n v="4000"/>
    <n v="18384"/>
    <n v="1"/>
    <n v="12"/>
    <n v="3"/>
    <n v="4"/>
    <n v="80"/>
    <n v="2"/>
    <n v="6"/>
    <n v="3"/>
    <n v="6"/>
    <n v="3"/>
    <n v="1"/>
    <n v="5"/>
  </r>
  <r>
    <s v="No"/>
    <s v="Travel_Rarely"/>
    <x v="1"/>
    <s v="Current Employees"/>
    <x v="1"/>
    <x v="2"/>
    <s v="STAFF-372"/>
    <x v="268"/>
    <x v="1"/>
    <x v="4"/>
    <x v="1"/>
    <s v="Yes"/>
    <s v="Y"/>
    <n v="2"/>
    <n v="-2"/>
    <n v="0"/>
    <x v="28"/>
    <n v="0"/>
    <m/>
    <n v="0"/>
    <n v="1"/>
    <n v="1385"/>
    <n v="20"/>
    <x v="0"/>
    <n v="1"/>
    <n v="3"/>
    <n v="79"/>
    <n v="3"/>
    <n v="4"/>
    <n v="4"/>
    <n v="13496"/>
    <n v="7501"/>
    <n v="0"/>
    <n v="14"/>
    <n v="3"/>
    <n v="2"/>
    <n v="80"/>
    <n v="0"/>
    <n v="21"/>
    <n v="3"/>
    <n v="20"/>
    <n v="7"/>
    <n v="4"/>
    <n v="10"/>
  </r>
  <r>
    <s v="No"/>
    <s v="Travel_Rarely"/>
    <x v="0"/>
    <s v="Current Employees"/>
    <x v="1"/>
    <x v="0"/>
    <s v="STAFF-373"/>
    <x v="269"/>
    <x v="1"/>
    <x v="2"/>
    <x v="1"/>
    <s v="No"/>
    <s v="Y"/>
    <n v="4"/>
    <n v="-2"/>
    <n v="0"/>
    <x v="9"/>
    <n v="0"/>
    <m/>
    <n v="0"/>
    <n v="1"/>
    <n v="1403"/>
    <n v="6"/>
    <x v="3"/>
    <n v="1"/>
    <n v="4"/>
    <n v="47"/>
    <n v="3"/>
    <n v="1"/>
    <n v="2"/>
    <n v="3210"/>
    <n v="20251"/>
    <n v="0"/>
    <n v="11"/>
    <n v="3"/>
    <n v="3"/>
    <n v="80"/>
    <n v="1"/>
    <n v="16"/>
    <n v="3"/>
    <n v="15"/>
    <n v="13"/>
    <n v="10"/>
    <n v="11"/>
  </r>
  <r>
    <s v="No"/>
    <s v="Travel_Rarely"/>
    <x v="3"/>
    <s v="Current Employees"/>
    <x v="1"/>
    <x v="2"/>
    <s v="STAFF-374"/>
    <x v="270"/>
    <x v="1"/>
    <x v="5"/>
    <x v="0"/>
    <s v="Yes"/>
    <s v="Y"/>
    <n v="2"/>
    <n v="-2"/>
    <n v="0"/>
    <x v="27"/>
    <n v="0"/>
    <m/>
    <n v="0"/>
    <n v="1"/>
    <n v="452"/>
    <n v="1"/>
    <x v="3"/>
    <n v="1"/>
    <n v="4"/>
    <n v="81"/>
    <n v="3"/>
    <n v="5"/>
    <n v="3"/>
    <n v="19045"/>
    <n v="18938"/>
    <n v="0"/>
    <n v="14"/>
    <n v="3"/>
    <n v="3"/>
    <n v="80"/>
    <n v="0"/>
    <n v="37"/>
    <n v="3"/>
    <n v="36"/>
    <n v="10"/>
    <n v="4"/>
    <n v="13"/>
  </r>
  <r>
    <s v="Yes"/>
    <s v="Non-Travel"/>
    <x v="1"/>
    <s v="Ex-Employees"/>
    <x v="1"/>
    <x v="0"/>
    <s v="STAFF-376"/>
    <x v="271"/>
    <x v="1"/>
    <x v="5"/>
    <x v="1"/>
    <s v="Yes"/>
    <s v="Y"/>
    <n v="2"/>
    <n v="-2"/>
    <n v="0"/>
    <x v="40"/>
    <n v="1"/>
    <n v="1"/>
    <n v="1"/>
    <n v="0"/>
    <n v="666"/>
    <n v="29"/>
    <x v="2"/>
    <n v="1"/>
    <n v="1"/>
    <n v="88"/>
    <n v="3"/>
    <n v="3"/>
    <n v="2"/>
    <n v="11849"/>
    <n v="10268"/>
    <n v="1"/>
    <n v="12"/>
    <n v="3"/>
    <n v="4"/>
    <n v="80"/>
    <n v="1"/>
    <n v="10"/>
    <n v="2"/>
    <n v="10"/>
    <n v="7"/>
    <n v="9"/>
    <n v="9"/>
  </r>
  <r>
    <s v="No"/>
    <s v="Travel_Rarely"/>
    <x v="2"/>
    <s v="Current Employees"/>
    <x v="1"/>
    <x v="2"/>
    <s v="STAFF-377"/>
    <x v="272"/>
    <x v="1"/>
    <x v="1"/>
    <x v="1"/>
    <s v="No"/>
    <s v="Y"/>
    <n v="3"/>
    <n v="-2"/>
    <n v="0"/>
    <x v="14"/>
    <n v="0"/>
    <m/>
    <n v="0"/>
    <n v="1"/>
    <n v="1158"/>
    <n v="9"/>
    <x v="3"/>
    <n v="1"/>
    <n v="4"/>
    <n v="94"/>
    <n v="3"/>
    <n v="1"/>
    <n v="4"/>
    <n v="2070"/>
    <n v="2613"/>
    <n v="1"/>
    <n v="23"/>
    <n v="4"/>
    <n v="4"/>
    <n v="80"/>
    <n v="1"/>
    <n v="5"/>
    <n v="2"/>
    <n v="5"/>
    <n v="2"/>
    <n v="0"/>
    <n v="4"/>
  </r>
  <r>
    <s v="No"/>
    <s v="Travel_Rarely"/>
    <x v="0"/>
    <s v="Current Employees"/>
    <x v="0"/>
    <x v="2"/>
    <s v="STAFF-378"/>
    <x v="273"/>
    <x v="1"/>
    <x v="0"/>
    <x v="1"/>
    <s v="No"/>
    <s v="Y"/>
    <n v="5"/>
    <n v="-2"/>
    <n v="0"/>
    <x v="2"/>
    <n v="0"/>
    <m/>
    <n v="0"/>
    <n v="1"/>
    <n v="228"/>
    <n v="6"/>
    <x v="2"/>
    <n v="1"/>
    <n v="3"/>
    <n v="98"/>
    <n v="3"/>
    <n v="2"/>
    <n v="4"/>
    <n v="6502"/>
    <n v="22825"/>
    <n v="4"/>
    <n v="14"/>
    <n v="3"/>
    <n v="2"/>
    <n v="80"/>
    <n v="1"/>
    <n v="7"/>
    <n v="4"/>
    <n v="5"/>
    <n v="4"/>
    <n v="0"/>
    <n v="1"/>
  </r>
  <r>
    <s v="No"/>
    <s v="Travel_Rarely"/>
    <x v="4"/>
    <s v="Current Employees"/>
    <x v="1"/>
    <x v="2"/>
    <s v="STAFF-379"/>
    <x v="274"/>
    <x v="1"/>
    <x v="1"/>
    <x v="0"/>
    <s v="No"/>
    <s v="Y"/>
    <n v="4"/>
    <n v="-2"/>
    <n v="0"/>
    <x v="18"/>
    <n v="0"/>
    <m/>
    <n v="0"/>
    <n v="1"/>
    <n v="996"/>
    <n v="3"/>
    <x v="0"/>
    <n v="1"/>
    <n v="4"/>
    <n v="100"/>
    <n v="2"/>
    <n v="1"/>
    <n v="3"/>
    <n v="3230"/>
    <n v="10531"/>
    <n v="1"/>
    <n v="17"/>
    <n v="3"/>
    <n v="1"/>
    <n v="80"/>
    <n v="0"/>
    <n v="3"/>
    <n v="4"/>
    <n v="3"/>
    <n v="2"/>
    <n v="1"/>
    <n v="0"/>
  </r>
  <r>
    <s v="No"/>
    <s v="Non-Travel"/>
    <x v="0"/>
    <s v="Current Employees"/>
    <x v="1"/>
    <x v="2"/>
    <s v="STAFF-380"/>
    <x v="275"/>
    <x v="0"/>
    <x v="7"/>
    <x v="2"/>
    <s v="Yes"/>
    <s v="Y"/>
    <n v="2"/>
    <n v="-2"/>
    <n v="0"/>
    <x v="2"/>
    <n v="0"/>
    <m/>
    <n v="0"/>
    <n v="1"/>
    <n v="728"/>
    <n v="1"/>
    <x v="2"/>
    <n v="1"/>
    <n v="1"/>
    <n v="80"/>
    <n v="3"/>
    <n v="3"/>
    <n v="4"/>
    <n v="13603"/>
    <n v="11677"/>
    <n v="2"/>
    <n v="18"/>
    <n v="3"/>
    <n v="1"/>
    <n v="80"/>
    <n v="2"/>
    <n v="15"/>
    <n v="3"/>
    <n v="5"/>
    <n v="2"/>
    <n v="0"/>
    <n v="2"/>
  </r>
  <r>
    <s v="No"/>
    <s v="Travel_Rarely"/>
    <x v="0"/>
    <s v="Current Employees"/>
    <x v="1"/>
    <x v="0"/>
    <s v="STAFF-381"/>
    <x v="276"/>
    <x v="0"/>
    <x v="5"/>
    <x v="2"/>
    <s v="No"/>
    <s v="Y"/>
    <n v="6"/>
    <n v="-2"/>
    <n v="0"/>
    <x v="10"/>
    <n v="0"/>
    <m/>
    <n v="0"/>
    <n v="1"/>
    <n v="1315"/>
    <n v="22"/>
    <x v="3"/>
    <n v="1"/>
    <n v="2"/>
    <n v="71"/>
    <n v="4"/>
    <n v="3"/>
    <n v="2"/>
    <n v="11996"/>
    <n v="19100"/>
    <n v="7"/>
    <n v="18"/>
    <n v="3"/>
    <n v="2"/>
    <n v="80"/>
    <n v="1"/>
    <n v="10"/>
    <n v="2"/>
    <n v="7"/>
    <n v="7"/>
    <n v="6"/>
    <n v="2"/>
  </r>
  <r>
    <s v="No"/>
    <s v="Travel_Rarely"/>
    <x v="0"/>
    <s v="Current Employees"/>
    <x v="0"/>
    <x v="2"/>
    <s v="STAFF-382"/>
    <x v="277"/>
    <x v="0"/>
    <x v="0"/>
    <x v="2"/>
    <s v="Yes"/>
    <s v="Y"/>
    <n v="3"/>
    <n v="-2"/>
    <n v="0"/>
    <x v="8"/>
    <n v="0"/>
    <m/>
    <n v="0"/>
    <n v="1"/>
    <n v="322"/>
    <n v="7"/>
    <x v="0"/>
    <n v="1"/>
    <n v="1"/>
    <n v="44"/>
    <n v="4"/>
    <n v="2"/>
    <n v="3"/>
    <n v="5605"/>
    <n v="19191"/>
    <n v="1"/>
    <n v="24"/>
    <n v="4"/>
    <n v="3"/>
    <n v="80"/>
    <n v="1"/>
    <n v="8"/>
    <n v="3"/>
    <n v="8"/>
    <n v="0"/>
    <n v="7"/>
    <n v="7"/>
  </r>
  <r>
    <s v="No"/>
    <s v="Travel_Frequently"/>
    <x v="2"/>
    <s v="Current Employees"/>
    <x v="1"/>
    <x v="0"/>
    <s v="STAFF-384"/>
    <x v="278"/>
    <x v="0"/>
    <x v="3"/>
    <x v="2"/>
    <s v="No"/>
    <s v="Y"/>
    <n v="6"/>
    <n v="-2"/>
    <n v="0"/>
    <x v="25"/>
    <n v="0"/>
    <m/>
    <n v="0"/>
    <n v="1"/>
    <n v="1479"/>
    <n v="1"/>
    <x v="3"/>
    <n v="1"/>
    <n v="3"/>
    <n v="84"/>
    <n v="3"/>
    <n v="2"/>
    <n v="2"/>
    <n v="6397"/>
    <n v="26767"/>
    <n v="1"/>
    <n v="20"/>
    <n v="4"/>
    <n v="1"/>
    <n v="80"/>
    <n v="1"/>
    <n v="6"/>
    <n v="1"/>
    <n v="6"/>
    <n v="5"/>
    <n v="1"/>
    <n v="4"/>
  </r>
  <r>
    <s v="No"/>
    <s v="Travel_Rarely"/>
    <x v="1"/>
    <s v="Current Employees"/>
    <x v="1"/>
    <x v="0"/>
    <s v="STAFF-385"/>
    <x v="279"/>
    <x v="1"/>
    <x v="7"/>
    <x v="2"/>
    <s v="No"/>
    <s v="Y"/>
    <n v="4"/>
    <n v="-2"/>
    <n v="0"/>
    <x v="24"/>
    <n v="0"/>
    <m/>
    <n v="0"/>
    <n v="1"/>
    <n v="797"/>
    <n v="4"/>
    <x v="1"/>
    <n v="1"/>
    <n v="1"/>
    <n v="96"/>
    <n v="3"/>
    <n v="5"/>
    <n v="2"/>
    <n v="19144"/>
    <n v="15815"/>
    <n v="3"/>
    <n v="14"/>
    <n v="3"/>
    <n v="1"/>
    <n v="80"/>
    <n v="2"/>
    <n v="28"/>
    <n v="2"/>
    <n v="10"/>
    <n v="4"/>
    <n v="1"/>
    <n v="6"/>
  </r>
  <r>
    <s v="No"/>
    <s v="Travel_Rarely"/>
    <x v="1"/>
    <s v="Current Employees"/>
    <x v="1"/>
    <x v="2"/>
    <s v="STAFF-386"/>
    <x v="280"/>
    <x v="1"/>
    <x v="7"/>
    <x v="1"/>
    <s v="Yes"/>
    <s v="Y"/>
    <n v="5"/>
    <n v="-2"/>
    <n v="0"/>
    <x v="16"/>
    <n v="0"/>
    <m/>
    <n v="0"/>
    <n v="1"/>
    <n v="1070"/>
    <n v="3"/>
    <x v="2"/>
    <n v="1"/>
    <n v="3"/>
    <n v="45"/>
    <n v="3"/>
    <n v="4"/>
    <n v="3"/>
    <n v="17584"/>
    <n v="21016"/>
    <n v="3"/>
    <n v="16"/>
    <n v="3"/>
    <n v="4"/>
    <n v="80"/>
    <n v="3"/>
    <n v="21"/>
    <n v="2"/>
    <n v="5"/>
    <n v="3"/>
    <n v="1"/>
    <n v="3"/>
  </r>
  <r>
    <s v="No"/>
    <s v="Travel_Rarely"/>
    <x v="0"/>
    <s v="Current Employees"/>
    <x v="0"/>
    <x v="0"/>
    <s v="STAFF-387"/>
    <x v="281"/>
    <x v="1"/>
    <x v="0"/>
    <x v="1"/>
    <s v="No"/>
    <s v="Y"/>
    <n v="3"/>
    <n v="-2"/>
    <n v="0"/>
    <x v="19"/>
    <n v="0"/>
    <m/>
    <n v="0"/>
    <n v="1"/>
    <n v="635"/>
    <n v="1"/>
    <x v="1"/>
    <n v="1"/>
    <n v="2"/>
    <n v="99"/>
    <n v="3"/>
    <n v="2"/>
    <n v="2"/>
    <n v="4907"/>
    <n v="24532"/>
    <n v="1"/>
    <n v="25"/>
    <n v="4"/>
    <n v="3"/>
    <n v="80"/>
    <n v="0"/>
    <n v="20"/>
    <n v="3"/>
    <n v="20"/>
    <n v="16"/>
    <n v="11"/>
    <n v="6"/>
  </r>
  <r>
    <s v="No"/>
    <s v="Travel_Frequently"/>
    <x v="2"/>
    <s v="Current Employees"/>
    <x v="0"/>
    <x v="0"/>
    <s v="STAFF-388"/>
    <x v="282"/>
    <x v="1"/>
    <x v="0"/>
    <x v="0"/>
    <s v="No"/>
    <s v="Y"/>
    <n v="3"/>
    <n v="-2"/>
    <n v="0"/>
    <x v="11"/>
    <n v="0"/>
    <m/>
    <n v="0"/>
    <n v="1"/>
    <n v="442"/>
    <n v="2"/>
    <x v="0"/>
    <n v="1"/>
    <n v="2"/>
    <n v="44"/>
    <n v="3"/>
    <n v="2"/>
    <n v="2"/>
    <n v="4554"/>
    <n v="20260"/>
    <n v="1"/>
    <n v="18"/>
    <n v="3"/>
    <n v="1"/>
    <n v="80"/>
    <n v="0"/>
    <n v="10"/>
    <n v="2"/>
    <n v="10"/>
    <n v="7"/>
    <n v="0"/>
    <n v="9"/>
  </r>
  <r>
    <s v="No"/>
    <s v="Travel_Rarely"/>
    <x v="3"/>
    <s v="Current Employees"/>
    <x v="1"/>
    <x v="4"/>
    <s v="STAFF-389"/>
    <x v="283"/>
    <x v="1"/>
    <x v="2"/>
    <x v="1"/>
    <s v="Yes"/>
    <s v="Y"/>
    <n v="4"/>
    <n v="-2"/>
    <n v="0"/>
    <x v="27"/>
    <n v="0"/>
    <m/>
    <n v="0"/>
    <n v="1"/>
    <n v="147"/>
    <n v="20"/>
    <x v="0"/>
    <n v="1"/>
    <n v="4"/>
    <n v="37"/>
    <n v="3"/>
    <n v="2"/>
    <n v="4"/>
    <n v="5415"/>
    <n v="15972"/>
    <n v="3"/>
    <n v="19"/>
    <n v="3"/>
    <n v="4"/>
    <n v="80"/>
    <n v="1"/>
    <n v="12"/>
    <n v="3"/>
    <n v="10"/>
    <n v="7"/>
    <n v="0"/>
    <n v="8"/>
  </r>
  <r>
    <s v="No"/>
    <s v="Travel_Frequently"/>
    <x v="2"/>
    <s v="Current Employees"/>
    <x v="1"/>
    <x v="2"/>
    <s v="STAFF-390"/>
    <x v="284"/>
    <x v="1"/>
    <x v="4"/>
    <x v="1"/>
    <s v="Yes"/>
    <s v="Y"/>
    <n v="3"/>
    <n v="-2"/>
    <n v="0"/>
    <x v="25"/>
    <n v="0"/>
    <m/>
    <n v="0"/>
    <n v="1"/>
    <n v="496"/>
    <n v="11"/>
    <x v="0"/>
    <n v="1"/>
    <n v="1"/>
    <n v="60"/>
    <n v="3"/>
    <n v="2"/>
    <n v="3"/>
    <n v="4741"/>
    <n v="22722"/>
    <n v="1"/>
    <n v="13"/>
    <n v="3"/>
    <n v="3"/>
    <n v="80"/>
    <n v="1"/>
    <n v="5"/>
    <n v="3"/>
    <n v="5"/>
    <n v="3"/>
    <n v="3"/>
    <n v="3"/>
  </r>
  <r>
    <s v="No"/>
    <s v="Travel_Rarely"/>
    <x v="0"/>
    <s v="Current Employees"/>
    <x v="1"/>
    <x v="0"/>
    <s v="STAFF-391"/>
    <x v="285"/>
    <x v="0"/>
    <x v="1"/>
    <x v="0"/>
    <s v="No"/>
    <s v="Y"/>
    <n v="3"/>
    <n v="-2"/>
    <n v="0"/>
    <x v="2"/>
    <n v="0"/>
    <m/>
    <n v="0"/>
    <n v="1"/>
    <n v="1372"/>
    <n v="1"/>
    <x v="3"/>
    <n v="1"/>
    <n v="4"/>
    <n v="42"/>
    <n v="3"/>
    <n v="1"/>
    <n v="2"/>
    <n v="2115"/>
    <n v="15881"/>
    <n v="1"/>
    <n v="12"/>
    <n v="3"/>
    <n v="2"/>
    <n v="80"/>
    <n v="0"/>
    <n v="17"/>
    <n v="3"/>
    <n v="17"/>
    <n v="12"/>
    <n v="5"/>
    <n v="7"/>
  </r>
  <r>
    <s v="Yes"/>
    <s v="Travel_Frequently"/>
    <x v="0"/>
    <s v="Ex-Employees"/>
    <x v="1"/>
    <x v="0"/>
    <s v="STAFF-392"/>
    <x v="286"/>
    <x v="1"/>
    <x v="2"/>
    <x v="2"/>
    <s v="Yes"/>
    <s v="Y"/>
    <n v="0"/>
    <n v="-2"/>
    <n v="0"/>
    <x v="20"/>
    <n v="1"/>
    <n v="1"/>
    <n v="1"/>
    <n v="0"/>
    <n v="920"/>
    <n v="24"/>
    <x v="3"/>
    <n v="1"/>
    <n v="4"/>
    <n v="43"/>
    <n v="3"/>
    <n v="1"/>
    <n v="2"/>
    <n v="3161"/>
    <n v="19920"/>
    <n v="3"/>
    <n v="22"/>
    <n v="4"/>
    <n v="4"/>
    <n v="80"/>
    <n v="1"/>
    <n v="19"/>
    <n v="1"/>
    <n v="1"/>
    <n v="0"/>
    <n v="0"/>
    <n v="0"/>
  </r>
  <r>
    <s v="No"/>
    <s v="Travel_Rarely"/>
    <x v="0"/>
    <s v="Current Employees"/>
    <x v="1"/>
    <x v="0"/>
    <s v="STAFF-393"/>
    <x v="287"/>
    <x v="1"/>
    <x v="4"/>
    <x v="2"/>
    <s v="No"/>
    <s v="Y"/>
    <n v="2"/>
    <n v="-2"/>
    <n v="0"/>
    <x v="8"/>
    <n v="0"/>
    <m/>
    <n v="0"/>
    <n v="1"/>
    <n v="688"/>
    <n v="23"/>
    <x v="2"/>
    <n v="1"/>
    <n v="4"/>
    <n v="82"/>
    <n v="3"/>
    <n v="2"/>
    <n v="2"/>
    <n v="5745"/>
    <n v="18899"/>
    <n v="9"/>
    <n v="14"/>
    <n v="3"/>
    <n v="2"/>
    <n v="80"/>
    <n v="1"/>
    <n v="10"/>
    <n v="3"/>
    <n v="2"/>
    <n v="2"/>
    <n v="1"/>
    <n v="2"/>
  </r>
  <r>
    <s v="Yes"/>
    <s v="Travel_Rarely"/>
    <x v="2"/>
    <s v="Ex-Employees"/>
    <x v="1"/>
    <x v="2"/>
    <s v="STAFF-394"/>
    <x v="288"/>
    <x v="1"/>
    <x v="2"/>
    <x v="2"/>
    <s v="Yes"/>
    <s v="Y"/>
    <n v="2"/>
    <n v="-2"/>
    <n v="0"/>
    <x v="25"/>
    <n v="1"/>
    <n v="1"/>
    <n v="1"/>
    <n v="0"/>
    <n v="1449"/>
    <n v="16"/>
    <x v="2"/>
    <n v="1"/>
    <n v="1"/>
    <n v="45"/>
    <n v="3"/>
    <n v="1"/>
    <n v="3"/>
    <n v="2373"/>
    <n v="14180"/>
    <n v="2"/>
    <n v="13"/>
    <n v="3"/>
    <n v="4"/>
    <n v="80"/>
    <n v="1"/>
    <n v="5"/>
    <n v="3"/>
    <n v="3"/>
    <n v="2"/>
    <n v="0"/>
    <n v="2"/>
  </r>
  <r>
    <s v="No"/>
    <s v="Travel_Rarely"/>
    <x v="2"/>
    <s v="Current Employees"/>
    <x v="1"/>
    <x v="0"/>
    <s v="STAFF-395"/>
    <x v="289"/>
    <x v="0"/>
    <x v="1"/>
    <x v="0"/>
    <s v="No"/>
    <s v="Y"/>
    <n v="3"/>
    <n v="-2"/>
    <n v="0"/>
    <x v="14"/>
    <n v="0"/>
    <m/>
    <n v="0"/>
    <n v="1"/>
    <n v="1117"/>
    <n v="8"/>
    <x v="0"/>
    <n v="1"/>
    <n v="4"/>
    <n v="66"/>
    <n v="3"/>
    <n v="1"/>
    <n v="2"/>
    <n v="3310"/>
    <n v="4488"/>
    <n v="1"/>
    <n v="21"/>
    <n v="4"/>
    <n v="4"/>
    <n v="80"/>
    <n v="0"/>
    <n v="5"/>
    <n v="3"/>
    <n v="5"/>
    <n v="3"/>
    <n v="0"/>
    <n v="2"/>
  </r>
  <r>
    <s v="No"/>
    <s v="Travel_Frequently"/>
    <x v="1"/>
    <s v="Current Employees"/>
    <x v="1"/>
    <x v="0"/>
    <s v="STAFF-396"/>
    <x v="290"/>
    <x v="0"/>
    <x v="7"/>
    <x v="0"/>
    <s v="Yes"/>
    <s v="Y"/>
    <n v="4"/>
    <n v="-2"/>
    <n v="0"/>
    <x v="1"/>
    <n v="0"/>
    <m/>
    <n v="0"/>
    <n v="1"/>
    <n v="636"/>
    <n v="10"/>
    <x v="2"/>
    <n v="1"/>
    <n v="3"/>
    <n v="35"/>
    <n v="3"/>
    <n v="5"/>
    <n v="2"/>
    <n v="18665"/>
    <n v="25594"/>
    <n v="9"/>
    <n v="11"/>
    <n v="3"/>
    <n v="4"/>
    <n v="80"/>
    <n v="0"/>
    <n v="22"/>
    <n v="3"/>
    <n v="3"/>
    <n v="2"/>
    <n v="1"/>
    <n v="2"/>
  </r>
  <r>
    <s v="No"/>
    <s v="Travel_Rarely"/>
    <x v="0"/>
    <s v="Current Employees"/>
    <x v="1"/>
    <x v="4"/>
    <s v="STAFF-397"/>
    <x v="291"/>
    <x v="1"/>
    <x v="1"/>
    <x v="0"/>
    <s v="No"/>
    <s v="Y"/>
    <n v="2"/>
    <n v="-2"/>
    <n v="0"/>
    <x v="9"/>
    <n v="0"/>
    <m/>
    <n v="0"/>
    <n v="1"/>
    <n v="506"/>
    <n v="3"/>
    <x v="3"/>
    <n v="1"/>
    <n v="4"/>
    <n v="30"/>
    <n v="3"/>
    <n v="2"/>
    <n v="4"/>
    <n v="4485"/>
    <n v="26285"/>
    <n v="4"/>
    <n v="12"/>
    <n v="3"/>
    <n v="4"/>
    <n v="80"/>
    <n v="0"/>
    <n v="10"/>
    <n v="3"/>
    <n v="8"/>
    <n v="0"/>
    <n v="7"/>
    <n v="7"/>
  </r>
  <r>
    <s v="No"/>
    <s v="Travel_Frequently"/>
    <x v="2"/>
    <s v="Current Employees"/>
    <x v="0"/>
    <x v="3"/>
    <s v="STAFF-399"/>
    <x v="292"/>
    <x v="0"/>
    <x v="6"/>
    <x v="2"/>
    <s v="No"/>
    <s v="Y"/>
    <n v="5"/>
    <n v="-2"/>
    <n v="0"/>
    <x v="12"/>
    <n v="0"/>
    <m/>
    <n v="0"/>
    <n v="1"/>
    <n v="444"/>
    <n v="5"/>
    <x v="3"/>
    <n v="1"/>
    <n v="4"/>
    <n v="84"/>
    <n v="3"/>
    <n v="1"/>
    <n v="1"/>
    <n v="2789"/>
    <n v="3909"/>
    <n v="1"/>
    <n v="11"/>
    <n v="3"/>
    <n v="3"/>
    <n v="80"/>
    <n v="1"/>
    <n v="2"/>
    <n v="2"/>
    <n v="2"/>
    <n v="2"/>
    <n v="2"/>
    <n v="2"/>
  </r>
  <r>
    <s v="Yes"/>
    <s v="Travel_Rarely"/>
    <x v="2"/>
    <s v="Ex-Employees"/>
    <x v="0"/>
    <x v="3"/>
    <s v="STAFF-401"/>
    <x v="293"/>
    <x v="1"/>
    <x v="0"/>
    <x v="0"/>
    <s v="Yes"/>
    <s v="Y"/>
    <n v="0"/>
    <n v="-2"/>
    <n v="0"/>
    <x v="25"/>
    <n v="1"/>
    <n v="1"/>
    <n v="1"/>
    <n v="0"/>
    <n v="950"/>
    <n v="4"/>
    <x v="2"/>
    <n v="1"/>
    <n v="4"/>
    <n v="48"/>
    <n v="2"/>
    <n v="2"/>
    <n v="1"/>
    <n v="5828"/>
    <n v="8450"/>
    <n v="1"/>
    <n v="12"/>
    <n v="3"/>
    <n v="2"/>
    <n v="80"/>
    <n v="0"/>
    <n v="8"/>
    <n v="3"/>
    <n v="8"/>
    <n v="7"/>
    <n v="7"/>
    <n v="4"/>
  </r>
  <r>
    <s v="No"/>
    <s v="Travel_Frequently"/>
    <x v="0"/>
    <s v="Current Employees"/>
    <x v="1"/>
    <x v="2"/>
    <s v="STAFF-403"/>
    <x v="294"/>
    <x v="1"/>
    <x v="1"/>
    <x v="1"/>
    <s v="Yes"/>
    <s v="Y"/>
    <n v="3"/>
    <n v="-2"/>
    <n v="0"/>
    <x v="2"/>
    <n v="0"/>
    <m/>
    <n v="0"/>
    <n v="1"/>
    <n v="889"/>
    <n v="9"/>
    <x v="3"/>
    <n v="1"/>
    <n v="2"/>
    <n v="53"/>
    <n v="3"/>
    <n v="1"/>
    <n v="4"/>
    <n v="2326"/>
    <n v="11411"/>
    <n v="1"/>
    <n v="12"/>
    <n v="3"/>
    <n v="3"/>
    <n v="80"/>
    <n v="3"/>
    <n v="4"/>
    <n v="2"/>
    <n v="4"/>
    <n v="2"/>
    <n v="1"/>
    <n v="2"/>
  </r>
  <r>
    <s v="No"/>
    <s v="Travel_Frequently"/>
    <x v="0"/>
    <s v="Current Employees"/>
    <x v="0"/>
    <x v="3"/>
    <s v="STAFF-404"/>
    <x v="295"/>
    <x v="0"/>
    <x v="0"/>
    <x v="1"/>
    <s v="No"/>
    <s v="Y"/>
    <n v="2"/>
    <n v="-2"/>
    <n v="0"/>
    <x v="19"/>
    <n v="0"/>
    <m/>
    <n v="0"/>
    <n v="1"/>
    <n v="555"/>
    <n v="26"/>
    <x v="3"/>
    <n v="1"/>
    <n v="3"/>
    <n v="77"/>
    <n v="3"/>
    <n v="4"/>
    <n v="1"/>
    <n v="13525"/>
    <n v="14864"/>
    <n v="5"/>
    <n v="14"/>
    <n v="3"/>
    <n v="4"/>
    <n v="80"/>
    <n v="1"/>
    <n v="23"/>
    <n v="4"/>
    <n v="20"/>
    <n v="4"/>
    <n v="4"/>
    <n v="8"/>
  </r>
  <r>
    <s v="Yes"/>
    <s v="Travel_Rarely"/>
    <x v="4"/>
    <s v="Ex-Employees"/>
    <x v="1"/>
    <x v="0"/>
    <s v="STAFF-405"/>
    <x v="296"/>
    <x v="1"/>
    <x v="2"/>
    <x v="0"/>
    <s v="No"/>
    <s v="Y"/>
    <n v="2"/>
    <n v="-2"/>
    <n v="0"/>
    <x v="41"/>
    <n v="1"/>
    <n v="1"/>
    <n v="1"/>
    <n v="0"/>
    <n v="230"/>
    <n v="3"/>
    <x v="3"/>
    <n v="1"/>
    <n v="3"/>
    <n v="54"/>
    <n v="3"/>
    <n v="1"/>
    <n v="2"/>
    <n v="1420"/>
    <n v="25233"/>
    <n v="1"/>
    <n v="13"/>
    <n v="3"/>
    <n v="3"/>
    <n v="80"/>
    <n v="0"/>
    <n v="0"/>
    <n v="3"/>
    <n v="0"/>
    <n v="0"/>
    <n v="0"/>
    <n v="0"/>
  </r>
  <r>
    <s v="No"/>
    <s v="Travel_Rarely"/>
    <x v="0"/>
    <s v="Current Employees"/>
    <x v="0"/>
    <x v="3"/>
    <s v="STAFF-406"/>
    <x v="297"/>
    <x v="1"/>
    <x v="0"/>
    <x v="1"/>
    <s v="No"/>
    <s v="Y"/>
    <n v="3"/>
    <n v="-2"/>
    <n v="0"/>
    <x v="10"/>
    <n v="0"/>
    <m/>
    <n v="0"/>
    <n v="1"/>
    <n v="1232"/>
    <n v="16"/>
    <x v="3"/>
    <n v="1"/>
    <n v="3"/>
    <n v="96"/>
    <n v="3"/>
    <n v="3"/>
    <n v="1"/>
    <n v="8020"/>
    <n v="5100"/>
    <n v="0"/>
    <n v="15"/>
    <n v="3"/>
    <n v="3"/>
    <n v="80"/>
    <n v="2"/>
    <n v="12"/>
    <n v="2"/>
    <n v="11"/>
    <n v="9"/>
    <n v="6"/>
    <n v="9"/>
  </r>
  <r>
    <s v="No"/>
    <s v="Travel_Frequently"/>
    <x v="0"/>
    <s v="Current Employees"/>
    <x v="1"/>
    <x v="0"/>
    <s v="STAFF-407"/>
    <x v="298"/>
    <x v="1"/>
    <x v="2"/>
    <x v="1"/>
    <s v="No"/>
    <s v="Y"/>
    <n v="2"/>
    <n v="-2"/>
    <n v="0"/>
    <x v="9"/>
    <n v="0"/>
    <m/>
    <n v="0"/>
    <n v="1"/>
    <n v="566"/>
    <n v="18"/>
    <x v="2"/>
    <n v="1"/>
    <n v="3"/>
    <n v="81"/>
    <n v="4"/>
    <n v="1"/>
    <n v="2"/>
    <n v="3688"/>
    <n v="7122"/>
    <n v="4"/>
    <n v="18"/>
    <n v="3"/>
    <n v="4"/>
    <n v="80"/>
    <n v="2"/>
    <n v="4"/>
    <n v="3"/>
    <n v="1"/>
    <n v="0"/>
    <n v="0"/>
    <n v="0"/>
  </r>
  <r>
    <s v="No"/>
    <s v="Travel_Rarely"/>
    <x v="1"/>
    <s v="Current Employees"/>
    <x v="1"/>
    <x v="2"/>
    <s v="STAFF-408"/>
    <x v="299"/>
    <x v="1"/>
    <x v="3"/>
    <x v="2"/>
    <s v="No"/>
    <s v="Y"/>
    <n v="3"/>
    <n v="-2"/>
    <n v="0"/>
    <x v="31"/>
    <n v="0"/>
    <m/>
    <n v="0"/>
    <n v="1"/>
    <n v="1302"/>
    <n v="2"/>
    <x v="3"/>
    <n v="1"/>
    <n v="4"/>
    <n v="84"/>
    <n v="1"/>
    <n v="2"/>
    <n v="3"/>
    <n v="5482"/>
    <n v="16321"/>
    <n v="5"/>
    <n v="18"/>
    <n v="3"/>
    <n v="4"/>
    <n v="80"/>
    <n v="1"/>
    <n v="13"/>
    <n v="3"/>
    <n v="4"/>
    <n v="1"/>
    <n v="1"/>
    <n v="2"/>
  </r>
  <r>
    <s v="No"/>
    <s v="Travel_Rarely"/>
    <x v="0"/>
    <s v="Current Employees"/>
    <x v="0"/>
    <x v="0"/>
    <s v="STAFF-410"/>
    <x v="300"/>
    <x v="1"/>
    <x v="5"/>
    <x v="0"/>
    <s v="No"/>
    <s v="Y"/>
    <n v="2"/>
    <n v="-2"/>
    <n v="0"/>
    <x v="0"/>
    <n v="0"/>
    <m/>
    <n v="0"/>
    <n v="1"/>
    <n v="334"/>
    <n v="2"/>
    <x v="2"/>
    <n v="1"/>
    <n v="4"/>
    <n v="88"/>
    <n v="3"/>
    <n v="4"/>
    <n v="2"/>
    <n v="16015"/>
    <n v="15896"/>
    <n v="1"/>
    <n v="19"/>
    <n v="3"/>
    <n v="2"/>
    <n v="80"/>
    <n v="0"/>
    <n v="22"/>
    <n v="3"/>
    <n v="22"/>
    <n v="10"/>
    <n v="0"/>
    <n v="4"/>
  </r>
  <r>
    <s v="No"/>
    <s v="Travel_Rarely"/>
    <x v="4"/>
    <s v="Current Employees"/>
    <x v="0"/>
    <x v="2"/>
    <s v="STAFF-411"/>
    <x v="301"/>
    <x v="0"/>
    <x v="6"/>
    <x v="0"/>
    <s v="No"/>
    <s v="Y"/>
    <n v="2"/>
    <n v="-2"/>
    <n v="0"/>
    <x v="41"/>
    <n v="0"/>
    <m/>
    <n v="0"/>
    <n v="1"/>
    <n v="812"/>
    <n v="10"/>
    <x v="3"/>
    <n v="1"/>
    <n v="4"/>
    <n v="69"/>
    <n v="2"/>
    <n v="1"/>
    <n v="3"/>
    <n v="1200"/>
    <n v="9724"/>
    <n v="1"/>
    <n v="12"/>
    <n v="3"/>
    <n v="1"/>
    <n v="80"/>
    <n v="0"/>
    <n v="0"/>
    <n v="3"/>
    <n v="0"/>
    <n v="0"/>
    <n v="0"/>
    <n v="0"/>
  </r>
  <r>
    <s v="No"/>
    <s v="Travel_Rarely"/>
    <x v="2"/>
    <s v="Current Employees"/>
    <x v="1"/>
    <x v="2"/>
    <s v="STAFF-412"/>
    <x v="302"/>
    <x v="1"/>
    <x v="4"/>
    <x v="0"/>
    <s v="No"/>
    <s v="Y"/>
    <n v="2"/>
    <n v="-2"/>
    <n v="0"/>
    <x v="14"/>
    <n v="0"/>
    <m/>
    <n v="0"/>
    <n v="1"/>
    <n v="1476"/>
    <n v="16"/>
    <x v="0"/>
    <n v="1"/>
    <n v="2"/>
    <n v="68"/>
    <n v="4"/>
    <n v="2"/>
    <n v="3"/>
    <n v="5661"/>
    <n v="4824"/>
    <n v="0"/>
    <n v="19"/>
    <n v="3"/>
    <n v="3"/>
    <n v="80"/>
    <n v="0"/>
    <n v="9"/>
    <n v="3"/>
    <n v="8"/>
    <n v="3"/>
    <n v="0"/>
    <n v="7"/>
  </r>
  <r>
    <s v="No"/>
    <s v="Travel_Rarely"/>
    <x v="2"/>
    <s v="Current Employees"/>
    <x v="0"/>
    <x v="4"/>
    <s v="STAFF-416"/>
    <x v="303"/>
    <x v="1"/>
    <x v="0"/>
    <x v="1"/>
    <s v="No"/>
    <s v="Y"/>
    <n v="3"/>
    <n v="-2"/>
    <n v="0"/>
    <x v="12"/>
    <n v="0"/>
    <m/>
    <n v="0"/>
    <n v="1"/>
    <n v="218"/>
    <n v="7"/>
    <x v="3"/>
    <n v="1"/>
    <n v="4"/>
    <n v="100"/>
    <n v="4"/>
    <n v="2"/>
    <n v="4"/>
    <n v="6929"/>
    <n v="12241"/>
    <n v="4"/>
    <n v="11"/>
    <n v="3"/>
    <n v="2"/>
    <n v="80"/>
    <n v="1"/>
    <n v="10"/>
    <n v="2"/>
    <n v="8"/>
    <n v="7"/>
    <n v="7"/>
    <n v="7"/>
  </r>
  <r>
    <s v="No"/>
    <s v="Travel_Rarely"/>
    <x v="0"/>
    <s v="Current Employees"/>
    <x v="1"/>
    <x v="2"/>
    <s v="STAFF-417"/>
    <x v="304"/>
    <x v="1"/>
    <x v="4"/>
    <x v="2"/>
    <s v="No"/>
    <s v="Y"/>
    <n v="5"/>
    <n v="-2"/>
    <n v="0"/>
    <x v="22"/>
    <n v="0"/>
    <m/>
    <n v="0"/>
    <n v="1"/>
    <n v="1132"/>
    <n v="1"/>
    <x v="3"/>
    <n v="1"/>
    <n v="3"/>
    <n v="48"/>
    <n v="4"/>
    <n v="3"/>
    <n v="4"/>
    <n v="9613"/>
    <n v="10942"/>
    <n v="0"/>
    <n v="17"/>
    <n v="3"/>
    <n v="1"/>
    <n v="80"/>
    <n v="3"/>
    <n v="19"/>
    <n v="2"/>
    <n v="18"/>
    <n v="10"/>
    <n v="3"/>
    <n v="7"/>
  </r>
  <r>
    <s v="No"/>
    <s v="Non-Travel"/>
    <x v="0"/>
    <s v="Current Employees"/>
    <x v="1"/>
    <x v="0"/>
    <s v="STAFF-419"/>
    <x v="305"/>
    <x v="0"/>
    <x v="2"/>
    <x v="1"/>
    <s v="No"/>
    <s v="Y"/>
    <n v="3"/>
    <n v="-2"/>
    <n v="0"/>
    <x v="9"/>
    <n v="0"/>
    <m/>
    <n v="0"/>
    <n v="1"/>
    <n v="1105"/>
    <n v="24"/>
    <x v="2"/>
    <n v="1"/>
    <n v="2"/>
    <n v="47"/>
    <n v="3"/>
    <n v="2"/>
    <n v="2"/>
    <n v="5674"/>
    <n v="6927"/>
    <n v="7"/>
    <n v="15"/>
    <n v="3"/>
    <n v="3"/>
    <n v="80"/>
    <n v="1"/>
    <n v="11"/>
    <n v="3"/>
    <n v="9"/>
    <n v="8"/>
    <n v="0"/>
    <n v="8"/>
  </r>
  <r>
    <s v="No"/>
    <s v="Travel_Rarely"/>
    <x v="2"/>
    <s v="Current Employees"/>
    <x v="0"/>
    <x v="0"/>
    <s v="STAFF-420"/>
    <x v="306"/>
    <x v="1"/>
    <x v="0"/>
    <x v="1"/>
    <s v="No"/>
    <s v="Y"/>
    <n v="3"/>
    <n v="-2"/>
    <n v="0"/>
    <x v="5"/>
    <n v="0"/>
    <m/>
    <n v="0"/>
    <n v="1"/>
    <n v="906"/>
    <n v="7"/>
    <x v="3"/>
    <n v="1"/>
    <n v="4"/>
    <n v="91"/>
    <n v="2"/>
    <n v="2"/>
    <n v="2"/>
    <n v="5484"/>
    <n v="16985"/>
    <n v="1"/>
    <n v="14"/>
    <n v="3"/>
    <n v="3"/>
    <n v="80"/>
    <n v="1"/>
    <n v="13"/>
    <n v="2"/>
    <n v="13"/>
    <n v="8"/>
    <n v="4"/>
    <n v="8"/>
  </r>
  <r>
    <s v="No"/>
    <s v="Travel_Rarely"/>
    <x v="0"/>
    <s v="Current Employees"/>
    <x v="1"/>
    <x v="0"/>
    <s v="STAFF-421"/>
    <x v="307"/>
    <x v="0"/>
    <x v="7"/>
    <x v="1"/>
    <s v="No"/>
    <s v="Y"/>
    <n v="2"/>
    <n v="-2"/>
    <n v="0"/>
    <x v="8"/>
    <n v="0"/>
    <m/>
    <n v="0"/>
    <n v="1"/>
    <n v="849"/>
    <n v="25"/>
    <x v="0"/>
    <n v="1"/>
    <n v="1"/>
    <n v="81"/>
    <n v="2"/>
    <n v="3"/>
    <n v="2"/>
    <n v="12061"/>
    <n v="26707"/>
    <n v="3"/>
    <n v="17"/>
    <n v="3"/>
    <n v="3"/>
    <n v="80"/>
    <n v="1"/>
    <n v="19"/>
    <n v="3"/>
    <n v="10"/>
    <n v="8"/>
    <n v="0"/>
    <n v="1"/>
  </r>
  <r>
    <s v="No"/>
    <s v="Non-Travel"/>
    <x v="3"/>
    <s v="Current Employees"/>
    <x v="1"/>
    <x v="0"/>
    <s v="STAFF-422"/>
    <x v="308"/>
    <x v="1"/>
    <x v="4"/>
    <x v="2"/>
    <s v="Yes"/>
    <s v="Y"/>
    <n v="2"/>
    <n v="-2"/>
    <n v="0"/>
    <x v="34"/>
    <n v="0"/>
    <m/>
    <n v="0"/>
    <n v="1"/>
    <n v="390"/>
    <n v="1"/>
    <x v="2"/>
    <n v="1"/>
    <n v="4"/>
    <n v="32"/>
    <n v="1"/>
    <n v="2"/>
    <n v="2"/>
    <n v="5660"/>
    <n v="17056"/>
    <n v="2"/>
    <n v="13"/>
    <n v="3"/>
    <n v="4"/>
    <n v="80"/>
    <n v="1"/>
    <n v="12"/>
    <n v="3"/>
    <n v="5"/>
    <n v="3"/>
    <n v="1"/>
    <n v="2"/>
  </r>
  <r>
    <s v="No"/>
    <s v="Travel_Rarely"/>
    <x v="2"/>
    <s v="Current Employees"/>
    <x v="1"/>
    <x v="4"/>
    <s v="STAFF-423"/>
    <x v="309"/>
    <x v="1"/>
    <x v="1"/>
    <x v="1"/>
    <s v="Yes"/>
    <s v="Y"/>
    <n v="4"/>
    <n v="-2"/>
    <n v="0"/>
    <x v="12"/>
    <n v="0"/>
    <m/>
    <n v="0"/>
    <n v="1"/>
    <n v="691"/>
    <n v="5"/>
    <x v="2"/>
    <n v="1"/>
    <n v="4"/>
    <n v="86"/>
    <n v="3"/>
    <n v="1"/>
    <n v="4"/>
    <n v="4821"/>
    <n v="10077"/>
    <n v="0"/>
    <n v="12"/>
    <n v="3"/>
    <n v="3"/>
    <n v="80"/>
    <n v="1"/>
    <n v="6"/>
    <n v="3"/>
    <n v="5"/>
    <n v="2"/>
    <n v="0"/>
    <n v="3"/>
  </r>
  <r>
    <s v="No"/>
    <s v="Travel_Rarely"/>
    <x v="2"/>
    <s v="Current Employees"/>
    <x v="2"/>
    <x v="5"/>
    <s v="STAFF-424"/>
    <x v="310"/>
    <x v="1"/>
    <x v="8"/>
    <x v="1"/>
    <s v="No"/>
    <s v="Y"/>
    <n v="1"/>
    <n v="-2"/>
    <n v="0"/>
    <x v="12"/>
    <n v="0"/>
    <m/>
    <n v="0"/>
    <n v="1"/>
    <n v="106"/>
    <n v="2"/>
    <x v="3"/>
    <n v="1"/>
    <n v="1"/>
    <n v="62"/>
    <n v="2"/>
    <n v="2"/>
    <n v="3"/>
    <n v="6410"/>
    <n v="17822"/>
    <n v="3"/>
    <n v="12"/>
    <n v="3"/>
    <n v="4"/>
    <n v="80"/>
    <n v="0"/>
    <n v="9"/>
    <n v="3"/>
    <n v="2"/>
    <n v="2"/>
    <n v="1"/>
    <n v="0"/>
  </r>
  <r>
    <s v="No"/>
    <s v="Travel_Frequently"/>
    <x v="1"/>
    <s v="Current Employees"/>
    <x v="1"/>
    <x v="0"/>
    <s v="STAFF-425"/>
    <x v="311"/>
    <x v="1"/>
    <x v="2"/>
    <x v="2"/>
    <s v="No"/>
    <s v="Y"/>
    <n v="2"/>
    <n v="-2"/>
    <n v="0"/>
    <x v="28"/>
    <n v="0"/>
    <m/>
    <n v="0"/>
    <n v="1"/>
    <n v="1249"/>
    <n v="7"/>
    <x v="3"/>
    <n v="1"/>
    <n v="1"/>
    <n v="97"/>
    <n v="3"/>
    <n v="3"/>
    <n v="2"/>
    <n v="5210"/>
    <n v="20308"/>
    <n v="1"/>
    <n v="18"/>
    <n v="3"/>
    <n v="1"/>
    <n v="80"/>
    <n v="1"/>
    <n v="24"/>
    <n v="3"/>
    <n v="24"/>
    <n v="9"/>
    <n v="9"/>
    <n v="11"/>
  </r>
  <r>
    <s v="No"/>
    <s v="Travel_Rarely"/>
    <x v="2"/>
    <s v="Current Employees"/>
    <x v="1"/>
    <x v="0"/>
    <s v="STAFF-426"/>
    <x v="312"/>
    <x v="1"/>
    <x v="1"/>
    <x v="2"/>
    <s v="Yes"/>
    <s v="Y"/>
    <n v="2"/>
    <n v="-2"/>
    <n v="0"/>
    <x v="12"/>
    <n v="0"/>
    <m/>
    <n v="0"/>
    <n v="1"/>
    <n v="192"/>
    <n v="2"/>
    <x v="2"/>
    <n v="1"/>
    <n v="3"/>
    <n v="32"/>
    <n v="3"/>
    <n v="1"/>
    <n v="2"/>
    <n v="2695"/>
    <n v="7747"/>
    <n v="0"/>
    <n v="18"/>
    <n v="3"/>
    <n v="2"/>
    <n v="80"/>
    <n v="1"/>
    <n v="3"/>
    <n v="1"/>
    <n v="2"/>
    <n v="2"/>
    <n v="2"/>
    <n v="2"/>
  </r>
  <r>
    <s v="No"/>
    <s v="Travel_Frequently"/>
    <x v="2"/>
    <s v="Current Employees"/>
    <x v="1"/>
    <x v="0"/>
    <s v="STAFF-428"/>
    <x v="313"/>
    <x v="0"/>
    <x v="5"/>
    <x v="1"/>
    <s v="No"/>
    <s v="Y"/>
    <n v="2"/>
    <n v="-2"/>
    <n v="0"/>
    <x v="3"/>
    <n v="0"/>
    <m/>
    <n v="0"/>
    <n v="1"/>
    <n v="553"/>
    <n v="5"/>
    <x v="2"/>
    <n v="1"/>
    <n v="4"/>
    <n v="74"/>
    <n v="3"/>
    <n v="3"/>
    <n v="2"/>
    <n v="11878"/>
    <n v="23364"/>
    <n v="6"/>
    <n v="11"/>
    <n v="3"/>
    <n v="2"/>
    <n v="80"/>
    <n v="2"/>
    <n v="12"/>
    <n v="3"/>
    <n v="10"/>
    <n v="6"/>
    <n v="8"/>
    <n v="8"/>
  </r>
  <r>
    <s v="No"/>
    <s v="Travel_Rarely"/>
    <x v="0"/>
    <s v="Current Employees"/>
    <x v="1"/>
    <x v="2"/>
    <s v="STAFF-429"/>
    <x v="314"/>
    <x v="1"/>
    <x v="5"/>
    <x v="1"/>
    <s v="Yes"/>
    <s v="Y"/>
    <n v="3"/>
    <n v="-2"/>
    <n v="0"/>
    <x v="22"/>
    <n v="0"/>
    <m/>
    <n v="0"/>
    <n v="1"/>
    <n v="117"/>
    <n v="10"/>
    <x v="1"/>
    <n v="1"/>
    <n v="3"/>
    <n v="99"/>
    <n v="3"/>
    <n v="4"/>
    <n v="3"/>
    <n v="17068"/>
    <n v="5355"/>
    <n v="1"/>
    <n v="14"/>
    <n v="3"/>
    <n v="4"/>
    <n v="80"/>
    <n v="0"/>
    <n v="21"/>
    <n v="3"/>
    <n v="21"/>
    <n v="9"/>
    <n v="11"/>
    <n v="10"/>
  </r>
  <r>
    <s v="No"/>
    <s v="Travel_Frequently"/>
    <x v="0"/>
    <s v="Current Employees"/>
    <x v="1"/>
    <x v="0"/>
    <s v="STAFF-430"/>
    <x v="315"/>
    <x v="0"/>
    <x v="2"/>
    <x v="0"/>
    <s v="No"/>
    <s v="Y"/>
    <n v="5"/>
    <n v="-2"/>
    <n v="0"/>
    <x v="23"/>
    <n v="0"/>
    <m/>
    <n v="0"/>
    <n v="1"/>
    <n v="185"/>
    <n v="10"/>
    <x v="2"/>
    <n v="1"/>
    <n v="3"/>
    <n v="33"/>
    <n v="3"/>
    <n v="1"/>
    <n v="2"/>
    <n v="2455"/>
    <n v="10675"/>
    <n v="0"/>
    <n v="19"/>
    <n v="3"/>
    <n v="1"/>
    <n v="80"/>
    <n v="0"/>
    <n v="9"/>
    <n v="3"/>
    <n v="8"/>
    <n v="7"/>
    <n v="1"/>
    <n v="7"/>
  </r>
  <r>
    <s v="No"/>
    <s v="Travel_Rarely"/>
    <x v="1"/>
    <s v="Current Employees"/>
    <x v="1"/>
    <x v="4"/>
    <s v="STAFF-431"/>
    <x v="316"/>
    <x v="0"/>
    <x v="4"/>
    <x v="0"/>
    <s v="Yes"/>
    <s v="Y"/>
    <n v="2"/>
    <n v="-2"/>
    <n v="0"/>
    <x v="1"/>
    <n v="0"/>
    <m/>
    <n v="0"/>
    <n v="1"/>
    <n v="1091"/>
    <n v="1"/>
    <x v="0"/>
    <n v="1"/>
    <n v="4"/>
    <n v="90"/>
    <n v="2"/>
    <n v="4"/>
    <n v="4"/>
    <n v="13964"/>
    <n v="17810"/>
    <n v="7"/>
    <n v="12"/>
    <n v="3"/>
    <n v="4"/>
    <n v="80"/>
    <n v="0"/>
    <n v="25"/>
    <n v="3"/>
    <n v="7"/>
    <n v="1"/>
    <n v="0"/>
    <n v="7"/>
  </r>
  <r>
    <s v="Yes"/>
    <s v="Travel_Rarely"/>
    <x v="1"/>
    <s v="Ex-Employees"/>
    <x v="1"/>
    <x v="2"/>
    <s v="STAFF-433"/>
    <x v="317"/>
    <x v="1"/>
    <x v="1"/>
    <x v="1"/>
    <s v="No"/>
    <s v="Y"/>
    <n v="3"/>
    <n v="-2"/>
    <n v="0"/>
    <x v="39"/>
    <n v="1"/>
    <n v="1"/>
    <n v="1"/>
    <n v="0"/>
    <n v="723"/>
    <n v="8"/>
    <x v="2"/>
    <n v="1"/>
    <n v="3"/>
    <n v="85"/>
    <n v="2"/>
    <n v="2"/>
    <n v="3"/>
    <n v="4941"/>
    <n v="17747"/>
    <n v="2"/>
    <n v="15"/>
    <n v="3"/>
    <n v="1"/>
    <n v="80"/>
    <n v="0"/>
    <n v="11"/>
    <n v="2"/>
    <n v="8"/>
    <n v="2"/>
    <n v="7"/>
    <n v="7"/>
  </r>
  <r>
    <s v="No"/>
    <s v="Travel_Rarely"/>
    <x v="2"/>
    <s v="Current Employees"/>
    <x v="1"/>
    <x v="0"/>
    <s v="STAFF-434"/>
    <x v="318"/>
    <x v="0"/>
    <x v="1"/>
    <x v="0"/>
    <s v="Yes"/>
    <s v="Y"/>
    <n v="2"/>
    <n v="-2"/>
    <n v="0"/>
    <x v="4"/>
    <n v="0"/>
    <m/>
    <n v="0"/>
    <n v="1"/>
    <n v="1220"/>
    <n v="5"/>
    <x v="3"/>
    <n v="1"/>
    <n v="3"/>
    <n v="85"/>
    <n v="3"/>
    <n v="1"/>
    <n v="2"/>
    <n v="2478"/>
    <n v="20938"/>
    <n v="1"/>
    <n v="12"/>
    <n v="3"/>
    <n v="2"/>
    <n v="80"/>
    <n v="0"/>
    <n v="4"/>
    <n v="2"/>
    <n v="4"/>
    <n v="3"/>
    <n v="1"/>
    <n v="2"/>
  </r>
  <r>
    <s v="No"/>
    <s v="Travel_Rarely"/>
    <x v="2"/>
    <s v="Current Employees"/>
    <x v="0"/>
    <x v="4"/>
    <s v="STAFF-436"/>
    <x v="319"/>
    <x v="0"/>
    <x v="0"/>
    <x v="1"/>
    <s v="Yes"/>
    <s v="Y"/>
    <n v="2"/>
    <n v="-2"/>
    <n v="0"/>
    <x v="5"/>
    <n v="0"/>
    <m/>
    <n v="0"/>
    <n v="1"/>
    <n v="588"/>
    <n v="8"/>
    <x v="0"/>
    <n v="1"/>
    <n v="4"/>
    <n v="65"/>
    <n v="2"/>
    <n v="2"/>
    <n v="4"/>
    <n v="5228"/>
    <n v="24624"/>
    <n v="1"/>
    <n v="11"/>
    <n v="3"/>
    <n v="4"/>
    <n v="80"/>
    <n v="0"/>
    <n v="13"/>
    <n v="3"/>
    <n v="13"/>
    <n v="12"/>
    <n v="11"/>
    <n v="9"/>
  </r>
  <r>
    <s v="No"/>
    <s v="Travel_Rarely"/>
    <x v="2"/>
    <s v="Current Employees"/>
    <x v="0"/>
    <x v="0"/>
    <s v="STAFF-437"/>
    <x v="320"/>
    <x v="1"/>
    <x v="0"/>
    <x v="0"/>
    <s v="Yes"/>
    <s v="Y"/>
    <n v="3"/>
    <n v="-2"/>
    <n v="0"/>
    <x v="4"/>
    <n v="0"/>
    <m/>
    <n v="0"/>
    <n v="1"/>
    <n v="1377"/>
    <n v="2"/>
    <x v="3"/>
    <n v="1"/>
    <n v="4"/>
    <n v="74"/>
    <n v="3"/>
    <n v="2"/>
    <n v="2"/>
    <n v="4478"/>
    <n v="5242"/>
    <n v="1"/>
    <n v="11"/>
    <n v="3"/>
    <n v="1"/>
    <n v="80"/>
    <n v="0"/>
    <n v="5"/>
    <n v="3"/>
    <n v="5"/>
    <n v="4"/>
    <n v="0"/>
    <n v="4"/>
  </r>
  <r>
    <s v="No"/>
    <s v="Travel_Rarely"/>
    <x v="2"/>
    <s v="Current Employees"/>
    <x v="0"/>
    <x v="3"/>
    <s v="STAFF-438"/>
    <x v="321"/>
    <x v="1"/>
    <x v="0"/>
    <x v="2"/>
    <s v="No"/>
    <s v="Y"/>
    <n v="3"/>
    <n v="-2"/>
    <n v="0"/>
    <x v="12"/>
    <n v="0"/>
    <m/>
    <n v="0"/>
    <n v="1"/>
    <n v="691"/>
    <n v="7"/>
    <x v="3"/>
    <n v="1"/>
    <n v="4"/>
    <n v="73"/>
    <n v="3"/>
    <n v="2"/>
    <n v="1"/>
    <n v="7547"/>
    <n v="7143"/>
    <n v="4"/>
    <n v="12"/>
    <n v="3"/>
    <n v="4"/>
    <n v="80"/>
    <n v="3"/>
    <n v="13"/>
    <n v="3"/>
    <n v="7"/>
    <n v="7"/>
    <n v="1"/>
    <n v="7"/>
  </r>
  <r>
    <s v="No"/>
    <s v="Travel_Rarely"/>
    <x v="2"/>
    <s v="Current Employees"/>
    <x v="1"/>
    <x v="2"/>
    <s v="STAFF-439"/>
    <x v="322"/>
    <x v="0"/>
    <x v="1"/>
    <x v="0"/>
    <s v="No"/>
    <s v="Y"/>
    <n v="0"/>
    <n v="-2"/>
    <n v="0"/>
    <x v="5"/>
    <n v="0"/>
    <m/>
    <n v="0"/>
    <n v="1"/>
    <n v="1018"/>
    <n v="2"/>
    <x v="2"/>
    <n v="1"/>
    <n v="1"/>
    <n v="74"/>
    <n v="4"/>
    <n v="2"/>
    <n v="4"/>
    <n v="5055"/>
    <n v="10557"/>
    <n v="7"/>
    <n v="16"/>
    <n v="3"/>
    <n v="3"/>
    <n v="80"/>
    <n v="0"/>
    <n v="10"/>
    <n v="2"/>
    <n v="7"/>
    <n v="7"/>
    <n v="0"/>
    <n v="7"/>
  </r>
  <r>
    <s v="Yes"/>
    <s v="Travel_Rarely"/>
    <x v="2"/>
    <s v="Ex-Employees"/>
    <x v="1"/>
    <x v="2"/>
    <s v="STAFF-440"/>
    <x v="323"/>
    <x v="1"/>
    <x v="1"/>
    <x v="1"/>
    <s v="Yes"/>
    <s v="Y"/>
    <n v="4"/>
    <n v="-2"/>
    <n v="0"/>
    <x v="14"/>
    <n v="1"/>
    <n v="1"/>
    <n v="1"/>
    <n v="0"/>
    <n v="1157"/>
    <n v="2"/>
    <x v="2"/>
    <n v="1"/>
    <n v="1"/>
    <n v="84"/>
    <n v="1"/>
    <n v="1"/>
    <n v="4"/>
    <n v="3464"/>
    <n v="24737"/>
    <n v="5"/>
    <n v="13"/>
    <n v="3"/>
    <n v="4"/>
    <n v="80"/>
    <n v="0"/>
    <n v="5"/>
    <n v="2"/>
    <n v="3"/>
    <n v="2"/>
    <n v="2"/>
    <n v="2"/>
  </r>
  <r>
    <s v="No"/>
    <s v="Travel_Rarely"/>
    <x v="2"/>
    <s v="Current Employees"/>
    <x v="1"/>
    <x v="2"/>
    <s v="STAFF-441"/>
    <x v="324"/>
    <x v="0"/>
    <x v="1"/>
    <x v="1"/>
    <s v="No"/>
    <s v="Y"/>
    <n v="2"/>
    <n v="-2"/>
    <n v="0"/>
    <x v="7"/>
    <n v="0"/>
    <m/>
    <n v="0"/>
    <n v="1"/>
    <n v="1275"/>
    <n v="28"/>
    <x v="0"/>
    <n v="1"/>
    <n v="4"/>
    <n v="64"/>
    <n v="3"/>
    <n v="2"/>
    <n v="4"/>
    <n v="5775"/>
    <n v="11934"/>
    <n v="1"/>
    <n v="13"/>
    <n v="3"/>
    <n v="4"/>
    <n v="80"/>
    <n v="2"/>
    <n v="11"/>
    <n v="3"/>
    <n v="10"/>
    <n v="8"/>
    <n v="1"/>
    <n v="9"/>
  </r>
  <r>
    <s v="No"/>
    <s v="Travel_Frequently"/>
    <x v="2"/>
    <s v="Current Employees"/>
    <x v="1"/>
    <x v="0"/>
    <s v="STAFF-442"/>
    <x v="325"/>
    <x v="0"/>
    <x v="3"/>
    <x v="1"/>
    <s v="No"/>
    <s v="Y"/>
    <n v="2"/>
    <n v="-2"/>
    <n v="0"/>
    <x v="12"/>
    <n v="0"/>
    <m/>
    <n v="0"/>
    <n v="1"/>
    <n v="798"/>
    <n v="7"/>
    <x v="0"/>
    <n v="1"/>
    <n v="3"/>
    <n v="48"/>
    <n v="2"/>
    <n v="3"/>
    <n v="2"/>
    <n v="8943"/>
    <n v="14034"/>
    <n v="1"/>
    <n v="24"/>
    <n v="4"/>
    <n v="1"/>
    <n v="80"/>
    <n v="1"/>
    <n v="10"/>
    <n v="3"/>
    <n v="10"/>
    <n v="9"/>
    <n v="8"/>
    <n v="9"/>
  </r>
  <r>
    <s v="No"/>
    <s v="Travel_Frequently"/>
    <x v="0"/>
    <s v="Current Employees"/>
    <x v="1"/>
    <x v="2"/>
    <s v="STAFF-444"/>
    <x v="326"/>
    <x v="1"/>
    <x v="5"/>
    <x v="1"/>
    <s v="No"/>
    <s v="Y"/>
    <n v="2"/>
    <n v="-2"/>
    <n v="0"/>
    <x v="22"/>
    <n v="0"/>
    <m/>
    <n v="0"/>
    <n v="1"/>
    <n v="672"/>
    <n v="7"/>
    <x v="0"/>
    <n v="1"/>
    <n v="3"/>
    <n v="54"/>
    <n v="2"/>
    <n v="5"/>
    <n v="4"/>
    <n v="19272"/>
    <n v="21141"/>
    <n v="1"/>
    <n v="15"/>
    <n v="3"/>
    <n v="1"/>
    <n v="80"/>
    <n v="1"/>
    <n v="21"/>
    <n v="3"/>
    <n v="21"/>
    <n v="9"/>
    <n v="13"/>
    <n v="3"/>
  </r>
  <r>
    <s v="Yes"/>
    <s v="Travel_Rarely"/>
    <x v="0"/>
    <s v="Ex-Employees"/>
    <x v="0"/>
    <x v="2"/>
    <s v="STAFF-445"/>
    <x v="327"/>
    <x v="0"/>
    <x v="0"/>
    <x v="1"/>
    <s v="Yes"/>
    <s v="Y"/>
    <n v="3"/>
    <n v="-2"/>
    <n v="0"/>
    <x v="22"/>
    <n v="1"/>
    <n v="1"/>
    <n v="1"/>
    <n v="0"/>
    <n v="1162"/>
    <n v="3"/>
    <x v="0"/>
    <n v="1"/>
    <n v="4"/>
    <n v="41"/>
    <n v="3"/>
    <n v="2"/>
    <n v="3"/>
    <n v="5238"/>
    <n v="17778"/>
    <n v="4"/>
    <n v="18"/>
    <n v="3"/>
    <n v="1"/>
    <n v="80"/>
    <n v="0"/>
    <n v="12"/>
    <n v="2"/>
    <n v="1"/>
    <n v="0"/>
    <n v="0"/>
    <n v="0"/>
  </r>
  <r>
    <s v="No"/>
    <s v="Travel_Frequently"/>
    <x v="2"/>
    <s v="Current Employees"/>
    <x v="0"/>
    <x v="3"/>
    <s v="STAFF-446"/>
    <x v="328"/>
    <x v="1"/>
    <x v="0"/>
    <x v="0"/>
    <s v="No"/>
    <s v="Y"/>
    <n v="6"/>
    <n v="-2"/>
    <n v="0"/>
    <x v="3"/>
    <n v="0"/>
    <m/>
    <n v="0"/>
    <n v="1"/>
    <n v="508"/>
    <n v="10"/>
    <x v="3"/>
    <n v="1"/>
    <n v="2"/>
    <n v="46"/>
    <n v="2"/>
    <n v="2"/>
    <n v="1"/>
    <n v="4682"/>
    <n v="4317"/>
    <n v="3"/>
    <n v="14"/>
    <n v="3"/>
    <n v="3"/>
    <n v="80"/>
    <n v="0"/>
    <n v="9"/>
    <n v="2"/>
    <n v="7"/>
    <n v="7"/>
    <n v="0"/>
    <n v="1"/>
  </r>
  <r>
    <s v="No"/>
    <s v="Travel_Rarely"/>
    <x v="1"/>
    <s v="Current Employees"/>
    <x v="1"/>
    <x v="0"/>
    <s v="STAFF-447"/>
    <x v="329"/>
    <x v="1"/>
    <x v="7"/>
    <x v="1"/>
    <s v="No"/>
    <s v="Y"/>
    <n v="2"/>
    <n v="-2"/>
    <n v="0"/>
    <x v="40"/>
    <n v="0"/>
    <m/>
    <n v="0"/>
    <n v="1"/>
    <n v="1482"/>
    <n v="5"/>
    <x v="4"/>
    <n v="1"/>
    <n v="4"/>
    <n v="42"/>
    <n v="3"/>
    <n v="5"/>
    <n v="2"/>
    <n v="18300"/>
    <n v="16375"/>
    <n v="4"/>
    <n v="11"/>
    <n v="3"/>
    <n v="2"/>
    <n v="80"/>
    <n v="1"/>
    <n v="21"/>
    <n v="3"/>
    <n v="3"/>
    <n v="2"/>
    <n v="1"/>
    <n v="1"/>
  </r>
  <r>
    <s v="No"/>
    <s v="Travel_Frequently"/>
    <x v="0"/>
    <s v="Current Employees"/>
    <x v="1"/>
    <x v="0"/>
    <s v="STAFF-448"/>
    <x v="330"/>
    <x v="0"/>
    <x v="2"/>
    <x v="2"/>
    <s v="No"/>
    <s v="Y"/>
    <n v="3"/>
    <n v="-2"/>
    <n v="0"/>
    <x v="23"/>
    <n v="0"/>
    <m/>
    <n v="0"/>
    <n v="1"/>
    <n v="559"/>
    <n v="10"/>
    <x v="2"/>
    <n v="1"/>
    <n v="3"/>
    <n v="82"/>
    <n v="2"/>
    <n v="2"/>
    <n v="2"/>
    <n v="5257"/>
    <n v="6227"/>
    <n v="1"/>
    <n v="11"/>
    <n v="3"/>
    <n v="2"/>
    <n v="80"/>
    <n v="1"/>
    <n v="9"/>
    <n v="4"/>
    <n v="9"/>
    <n v="7"/>
    <n v="0"/>
    <n v="0"/>
  </r>
  <r>
    <s v="No"/>
    <s v="Non-Travel"/>
    <x v="2"/>
    <s v="Current Employees"/>
    <x v="0"/>
    <x v="3"/>
    <s v="STAFF-449"/>
    <x v="331"/>
    <x v="1"/>
    <x v="0"/>
    <x v="1"/>
    <s v="Yes"/>
    <s v="Y"/>
    <n v="0"/>
    <n v="-2"/>
    <n v="0"/>
    <x v="4"/>
    <n v="0"/>
    <m/>
    <n v="0"/>
    <n v="1"/>
    <n v="210"/>
    <n v="1"/>
    <x v="1"/>
    <n v="1"/>
    <n v="3"/>
    <n v="73"/>
    <n v="3"/>
    <n v="2"/>
    <n v="1"/>
    <n v="6349"/>
    <n v="22107"/>
    <n v="0"/>
    <n v="13"/>
    <n v="3"/>
    <n v="4"/>
    <n v="80"/>
    <n v="1"/>
    <n v="6"/>
    <n v="3"/>
    <n v="5"/>
    <n v="4"/>
    <n v="1"/>
    <n v="4"/>
  </r>
  <r>
    <s v="No"/>
    <s v="Travel_Frequently"/>
    <x v="1"/>
    <s v="Current Employees"/>
    <x v="1"/>
    <x v="0"/>
    <s v="STAFF-450"/>
    <x v="332"/>
    <x v="0"/>
    <x v="1"/>
    <x v="0"/>
    <s v="No"/>
    <s v="Y"/>
    <n v="4"/>
    <n v="-2"/>
    <n v="0"/>
    <x v="33"/>
    <n v="0"/>
    <m/>
    <n v="0"/>
    <n v="1"/>
    <n v="928"/>
    <n v="20"/>
    <x v="2"/>
    <n v="1"/>
    <n v="4"/>
    <n v="31"/>
    <n v="3"/>
    <n v="2"/>
    <n v="2"/>
    <n v="4869"/>
    <n v="16885"/>
    <n v="3"/>
    <n v="12"/>
    <n v="3"/>
    <n v="4"/>
    <n v="80"/>
    <n v="0"/>
    <n v="20"/>
    <n v="2"/>
    <n v="4"/>
    <n v="3"/>
    <n v="0"/>
    <n v="3"/>
  </r>
  <r>
    <s v="No"/>
    <s v="Travel_Rarely"/>
    <x v="0"/>
    <s v="Current Employees"/>
    <x v="1"/>
    <x v="0"/>
    <s v="STAFF-451"/>
    <x v="333"/>
    <x v="0"/>
    <x v="4"/>
    <x v="1"/>
    <s v="No"/>
    <s v="Y"/>
    <n v="1"/>
    <n v="-2"/>
    <n v="0"/>
    <x v="23"/>
    <n v="0"/>
    <m/>
    <n v="0"/>
    <n v="1"/>
    <n v="1001"/>
    <n v="7"/>
    <x v="3"/>
    <n v="1"/>
    <n v="3"/>
    <n v="43"/>
    <n v="3"/>
    <n v="3"/>
    <n v="2"/>
    <n v="9985"/>
    <n v="9262"/>
    <n v="8"/>
    <n v="16"/>
    <n v="3"/>
    <n v="1"/>
    <n v="80"/>
    <n v="1"/>
    <n v="10"/>
    <n v="2"/>
    <n v="1"/>
    <n v="0"/>
    <n v="0"/>
    <n v="0"/>
  </r>
  <r>
    <s v="No"/>
    <s v="Travel_Rarely"/>
    <x v="1"/>
    <s v="Current Employees"/>
    <x v="1"/>
    <x v="1"/>
    <s v="STAFF-452"/>
    <x v="334"/>
    <x v="1"/>
    <x v="1"/>
    <x v="1"/>
    <s v="No"/>
    <s v="Y"/>
    <n v="3"/>
    <n v="-2"/>
    <n v="0"/>
    <x v="28"/>
    <n v="0"/>
    <m/>
    <n v="0"/>
    <n v="1"/>
    <n v="549"/>
    <n v="8"/>
    <x v="2"/>
    <n v="1"/>
    <n v="4"/>
    <n v="75"/>
    <n v="3"/>
    <n v="2"/>
    <n v="4"/>
    <n v="3697"/>
    <n v="9278"/>
    <n v="9"/>
    <n v="14"/>
    <n v="3"/>
    <n v="1"/>
    <n v="80"/>
    <n v="2"/>
    <n v="12"/>
    <n v="3"/>
    <n v="10"/>
    <n v="9"/>
    <n v="9"/>
    <n v="8"/>
  </r>
  <r>
    <s v="No"/>
    <s v="Travel_Rarely"/>
    <x v="0"/>
    <s v="Current Employees"/>
    <x v="0"/>
    <x v="2"/>
    <s v="STAFF-453"/>
    <x v="335"/>
    <x v="1"/>
    <x v="0"/>
    <x v="1"/>
    <s v="Yes"/>
    <s v="Y"/>
    <n v="2"/>
    <n v="-2"/>
    <n v="0"/>
    <x v="32"/>
    <n v="0"/>
    <m/>
    <n v="0"/>
    <n v="1"/>
    <n v="1124"/>
    <n v="1"/>
    <x v="0"/>
    <n v="1"/>
    <n v="2"/>
    <n v="57"/>
    <n v="1"/>
    <n v="2"/>
    <n v="4"/>
    <n v="7457"/>
    <n v="13273"/>
    <n v="2"/>
    <n v="22"/>
    <n v="4"/>
    <n v="3"/>
    <n v="80"/>
    <n v="3"/>
    <n v="6"/>
    <n v="2"/>
    <n v="4"/>
    <n v="3"/>
    <n v="0"/>
    <n v="2"/>
  </r>
  <r>
    <s v="Yes"/>
    <s v="Travel_Rarely"/>
    <x v="2"/>
    <s v="Ex-Employees"/>
    <x v="1"/>
    <x v="1"/>
    <s v="STAFF-454"/>
    <x v="336"/>
    <x v="1"/>
    <x v="2"/>
    <x v="1"/>
    <s v="Yes"/>
    <s v="Y"/>
    <n v="4"/>
    <n v="-2"/>
    <n v="0"/>
    <x v="11"/>
    <n v="1"/>
    <n v="1"/>
    <n v="1"/>
    <n v="0"/>
    <n v="318"/>
    <n v="8"/>
    <x v="2"/>
    <n v="1"/>
    <n v="2"/>
    <n v="77"/>
    <n v="1"/>
    <n v="1"/>
    <n v="3"/>
    <n v="2119"/>
    <n v="4759"/>
    <n v="1"/>
    <n v="11"/>
    <n v="3"/>
    <n v="4"/>
    <n v="80"/>
    <n v="0"/>
    <n v="7"/>
    <n v="2"/>
    <n v="7"/>
    <n v="7"/>
    <n v="0"/>
    <n v="7"/>
  </r>
  <r>
    <s v="No"/>
    <s v="Travel_Rarely"/>
    <x v="2"/>
    <s v="Current Employees"/>
    <x v="1"/>
    <x v="1"/>
    <s v="STAFF-455"/>
    <x v="337"/>
    <x v="1"/>
    <x v="2"/>
    <x v="0"/>
    <s v="No"/>
    <s v="Y"/>
    <n v="2"/>
    <n v="-2"/>
    <n v="0"/>
    <x v="11"/>
    <n v="0"/>
    <m/>
    <n v="0"/>
    <n v="1"/>
    <n v="738"/>
    <n v="9"/>
    <x v="4"/>
    <n v="1"/>
    <n v="2"/>
    <n v="30"/>
    <n v="2"/>
    <n v="1"/>
    <n v="4"/>
    <n v="3983"/>
    <n v="7621"/>
    <n v="0"/>
    <n v="17"/>
    <n v="3"/>
    <n v="3"/>
    <n v="80"/>
    <n v="0"/>
    <n v="4"/>
    <n v="3"/>
    <n v="3"/>
    <n v="2"/>
    <n v="2"/>
    <n v="2"/>
  </r>
  <r>
    <s v="No"/>
    <s v="Travel_Rarely"/>
    <x v="2"/>
    <s v="Current Employees"/>
    <x v="0"/>
    <x v="3"/>
    <s v="STAFF-456"/>
    <x v="338"/>
    <x v="0"/>
    <x v="0"/>
    <x v="2"/>
    <s v="No"/>
    <s v="Y"/>
    <n v="2"/>
    <n v="-2"/>
    <n v="0"/>
    <x v="7"/>
    <n v="0"/>
    <m/>
    <n v="0"/>
    <n v="1"/>
    <n v="570"/>
    <n v="5"/>
    <x v="3"/>
    <n v="1"/>
    <n v="4"/>
    <n v="30"/>
    <n v="2"/>
    <n v="2"/>
    <n v="1"/>
    <n v="6118"/>
    <n v="5431"/>
    <n v="1"/>
    <n v="13"/>
    <n v="3"/>
    <n v="3"/>
    <n v="80"/>
    <n v="3"/>
    <n v="10"/>
    <n v="3"/>
    <n v="10"/>
    <n v="9"/>
    <n v="1"/>
    <n v="2"/>
  </r>
  <r>
    <s v="No"/>
    <s v="Travel_Rarely"/>
    <x v="2"/>
    <s v="Current Employees"/>
    <x v="0"/>
    <x v="3"/>
    <s v="STAFF-458"/>
    <x v="339"/>
    <x v="0"/>
    <x v="0"/>
    <x v="1"/>
    <s v="No"/>
    <s v="Y"/>
    <n v="3"/>
    <n v="-2"/>
    <n v="0"/>
    <x v="4"/>
    <n v="0"/>
    <m/>
    <n v="0"/>
    <n v="1"/>
    <n v="1130"/>
    <n v="8"/>
    <x v="2"/>
    <n v="1"/>
    <n v="2"/>
    <n v="56"/>
    <n v="3"/>
    <n v="2"/>
    <n v="1"/>
    <n v="6214"/>
    <n v="3415"/>
    <n v="1"/>
    <n v="18"/>
    <n v="3"/>
    <n v="1"/>
    <n v="80"/>
    <n v="1"/>
    <n v="8"/>
    <n v="3"/>
    <n v="8"/>
    <n v="7"/>
    <n v="0"/>
    <n v="7"/>
  </r>
  <r>
    <s v="No"/>
    <s v="Travel_Rarely"/>
    <x v="0"/>
    <s v="Current Employees"/>
    <x v="1"/>
    <x v="2"/>
    <s v="STAFF-460"/>
    <x v="340"/>
    <x v="1"/>
    <x v="3"/>
    <x v="2"/>
    <s v="No"/>
    <s v="Y"/>
    <n v="2"/>
    <n v="-2"/>
    <n v="0"/>
    <x v="2"/>
    <n v="0"/>
    <m/>
    <n v="0"/>
    <n v="1"/>
    <n v="1192"/>
    <n v="5"/>
    <x v="0"/>
    <n v="1"/>
    <n v="4"/>
    <n v="61"/>
    <n v="3"/>
    <n v="2"/>
    <n v="4"/>
    <n v="6347"/>
    <n v="23177"/>
    <n v="7"/>
    <n v="16"/>
    <n v="3"/>
    <n v="3"/>
    <n v="80"/>
    <n v="2"/>
    <n v="8"/>
    <n v="2"/>
    <n v="6"/>
    <n v="2"/>
    <n v="0"/>
    <n v="4"/>
  </r>
  <r>
    <s v="No"/>
    <s v="Travel_Rarely"/>
    <x v="0"/>
    <s v="Current Employees"/>
    <x v="1"/>
    <x v="0"/>
    <s v="STAFF-461"/>
    <x v="341"/>
    <x v="1"/>
    <x v="7"/>
    <x v="2"/>
    <s v="Yes"/>
    <s v="Y"/>
    <n v="3"/>
    <n v="-2"/>
    <n v="0"/>
    <x v="8"/>
    <n v="0"/>
    <m/>
    <n v="0"/>
    <n v="1"/>
    <n v="343"/>
    <n v="15"/>
    <x v="0"/>
    <n v="1"/>
    <n v="3"/>
    <n v="92"/>
    <n v="2"/>
    <n v="3"/>
    <n v="2"/>
    <n v="11510"/>
    <n v="15682"/>
    <n v="0"/>
    <n v="14"/>
    <n v="3"/>
    <n v="2"/>
    <n v="80"/>
    <n v="1"/>
    <n v="12"/>
    <n v="3"/>
    <n v="11"/>
    <n v="10"/>
    <n v="2"/>
    <n v="9"/>
  </r>
  <r>
    <s v="No"/>
    <s v="Travel_Rarely"/>
    <x v="2"/>
    <s v="Current Employees"/>
    <x v="1"/>
    <x v="2"/>
    <s v="STAFF-462"/>
    <x v="342"/>
    <x v="0"/>
    <x v="3"/>
    <x v="0"/>
    <s v="Yes"/>
    <s v="Y"/>
    <n v="2"/>
    <n v="-2"/>
    <n v="0"/>
    <x v="12"/>
    <n v="0"/>
    <m/>
    <n v="0"/>
    <n v="1"/>
    <n v="1232"/>
    <n v="7"/>
    <x v="2"/>
    <n v="1"/>
    <n v="3"/>
    <n v="39"/>
    <n v="3"/>
    <n v="3"/>
    <n v="4"/>
    <n v="7143"/>
    <n v="25713"/>
    <n v="1"/>
    <n v="14"/>
    <n v="3"/>
    <n v="3"/>
    <n v="80"/>
    <n v="0"/>
    <n v="11"/>
    <n v="2"/>
    <n v="11"/>
    <n v="9"/>
    <n v="4"/>
    <n v="10"/>
  </r>
  <r>
    <s v="No"/>
    <s v="Travel_Rarely"/>
    <x v="2"/>
    <s v="Current Employees"/>
    <x v="0"/>
    <x v="3"/>
    <s v="STAFF-463"/>
    <x v="343"/>
    <x v="0"/>
    <x v="0"/>
    <x v="2"/>
    <s v="Yes"/>
    <s v="Y"/>
    <n v="2"/>
    <n v="-2"/>
    <n v="0"/>
    <x v="11"/>
    <n v="0"/>
    <m/>
    <n v="0"/>
    <n v="1"/>
    <n v="144"/>
    <n v="10"/>
    <x v="1"/>
    <n v="1"/>
    <n v="4"/>
    <n v="39"/>
    <n v="2"/>
    <n v="2"/>
    <n v="1"/>
    <n v="8268"/>
    <n v="11866"/>
    <n v="1"/>
    <n v="14"/>
    <n v="3"/>
    <n v="1"/>
    <n v="80"/>
    <n v="2"/>
    <n v="7"/>
    <n v="3"/>
    <n v="7"/>
    <n v="7"/>
    <n v="1"/>
    <n v="7"/>
  </r>
  <r>
    <s v="No"/>
    <s v="Travel_Rarely"/>
    <x v="0"/>
    <s v="Current Employees"/>
    <x v="1"/>
    <x v="4"/>
    <s v="STAFF-464"/>
    <x v="344"/>
    <x v="1"/>
    <x v="3"/>
    <x v="0"/>
    <s v="No"/>
    <s v="Y"/>
    <n v="5"/>
    <n v="-2"/>
    <n v="0"/>
    <x v="10"/>
    <n v="0"/>
    <m/>
    <n v="0"/>
    <n v="1"/>
    <n v="1296"/>
    <n v="5"/>
    <x v="2"/>
    <n v="1"/>
    <n v="4"/>
    <n v="62"/>
    <n v="3"/>
    <n v="3"/>
    <n v="4"/>
    <n v="8095"/>
    <n v="18264"/>
    <n v="0"/>
    <n v="13"/>
    <n v="3"/>
    <n v="4"/>
    <n v="80"/>
    <n v="0"/>
    <n v="17"/>
    <n v="3"/>
    <n v="16"/>
    <n v="6"/>
    <n v="0"/>
    <n v="13"/>
  </r>
  <r>
    <s v="No"/>
    <s v="Travel_Rarely"/>
    <x v="4"/>
    <s v="Current Employees"/>
    <x v="1"/>
    <x v="0"/>
    <s v="STAFF-465"/>
    <x v="345"/>
    <x v="1"/>
    <x v="1"/>
    <x v="2"/>
    <s v="No"/>
    <s v="Y"/>
    <n v="2"/>
    <n v="-2"/>
    <n v="0"/>
    <x v="30"/>
    <n v="0"/>
    <m/>
    <n v="0"/>
    <n v="1"/>
    <n v="1309"/>
    <n v="26"/>
    <x v="1"/>
    <n v="1"/>
    <n v="3"/>
    <n v="83"/>
    <n v="3"/>
    <n v="1"/>
    <n v="2"/>
    <n v="2904"/>
    <n v="16092"/>
    <n v="1"/>
    <n v="12"/>
    <n v="3"/>
    <n v="3"/>
    <n v="80"/>
    <n v="2"/>
    <n v="4"/>
    <n v="2"/>
    <n v="4"/>
    <n v="2"/>
    <n v="0"/>
    <n v="2"/>
  </r>
  <r>
    <s v="No"/>
    <s v="Travel_Rarely"/>
    <x v="0"/>
    <s v="Current Employees"/>
    <x v="1"/>
    <x v="2"/>
    <s v="STAFF-466"/>
    <x v="346"/>
    <x v="1"/>
    <x v="3"/>
    <x v="0"/>
    <s v="Yes"/>
    <s v="Y"/>
    <n v="3"/>
    <n v="-2"/>
    <n v="0"/>
    <x v="0"/>
    <n v="0"/>
    <m/>
    <n v="0"/>
    <n v="1"/>
    <n v="483"/>
    <n v="6"/>
    <x v="3"/>
    <n v="1"/>
    <n v="4"/>
    <n v="95"/>
    <n v="2"/>
    <n v="2"/>
    <n v="3"/>
    <n v="6032"/>
    <n v="10110"/>
    <n v="6"/>
    <n v="15"/>
    <n v="3"/>
    <n v="4"/>
    <n v="80"/>
    <n v="0"/>
    <n v="8"/>
    <n v="3"/>
    <n v="5"/>
    <n v="4"/>
    <n v="1"/>
    <n v="2"/>
  </r>
  <r>
    <s v="No"/>
    <s v="Travel_Frequently"/>
    <x v="1"/>
    <s v="Current Employees"/>
    <x v="0"/>
    <x v="2"/>
    <s v="STAFF-467"/>
    <x v="347"/>
    <x v="1"/>
    <x v="6"/>
    <x v="0"/>
    <s v="No"/>
    <s v="Y"/>
    <n v="3"/>
    <n v="-2"/>
    <n v="0"/>
    <x v="40"/>
    <n v="0"/>
    <m/>
    <n v="0"/>
    <n v="1"/>
    <n v="1309"/>
    <n v="4"/>
    <x v="1"/>
    <n v="1"/>
    <n v="2"/>
    <n v="99"/>
    <n v="3"/>
    <n v="2"/>
    <n v="3"/>
    <n v="2976"/>
    <n v="25751"/>
    <n v="3"/>
    <n v="19"/>
    <n v="3"/>
    <n v="1"/>
    <n v="80"/>
    <n v="0"/>
    <n v="5"/>
    <n v="3"/>
    <n v="0"/>
    <n v="0"/>
    <n v="0"/>
    <n v="0"/>
  </r>
  <r>
    <s v="No"/>
    <s v="Travel_Rarely"/>
    <x v="0"/>
    <s v="Current Employees"/>
    <x v="1"/>
    <x v="0"/>
    <s v="STAFF-468"/>
    <x v="348"/>
    <x v="0"/>
    <x v="7"/>
    <x v="0"/>
    <s v="No"/>
    <s v="Y"/>
    <n v="2"/>
    <n v="-2"/>
    <n v="0"/>
    <x v="19"/>
    <n v="0"/>
    <m/>
    <n v="0"/>
    <n v="1"/>
    <n v="810"/>
    <n v="23"/>
    <x v="4"/>
    <n v="1"/>
    <n v="1"/>
    <n v="44"/>
    <n v="3"/>
    <n v="4"/>
    <n v="2"/>
    <n v="15992"/>
    <n v="15901"/>
    <n v="2"/>
    <n v="14"/>
    <n v="3"/>
    <n v="2"/>
    <n v="80"/>
    <n v="0"/>
    <n v="16"/>
    <n v="3"/>
    <n v="1"/>
    <n v="0"/>
    <n v="0"/>
    <n v="0"/>
  </r>
  <r>
    <s v="No"/>
    <s v="Non-Travel"/>
    <x v="2"/>
    <s v="Current Employees"/>
    <x v="0"/>
    <x v="0"/>
    <s v="STAFF-469"/>
    <x v="349"/>
    <x v="1"/>
    <x v="0"/>
    <x v="1"/>
    <s v="No"/>
    <s v="Y"/>
    <n v="3"/>
    <n v="-2"/>
    <n v="0"/>
    <x v="11"/>
    <n v="0"/>
    <m/>
    <n v="0"/>
    <n v="1"/>
    <n v="746"/>
    <n v="2"/>
    <x v="3"/>
    <n v="1"/>
    <n v="4"/>
    <n v="61"/>
    <n v="3"/>
    <n v="2"/>
    <n v="2"/>
    <n v="4649"/>
    <n v="16928"/>
    <n v="1"/>
    <n v="14"/>
    <n v="3"/>
    <n v="1"/>
    <n v="80"/>
    <n v="1"/>
    <n v="4"/>
    <n v="2"/>
    <n v="4"/>
    <n v="3"/>
    <n v="0"/>
    <n v="2"/>
  </r>
  <r>
    <s v="No"/>
    <s v="Travel_Rarely"/>
    <x v="0"/>
    <s v="Current Employees"/>
    <x v="2"/>
    <x v="4"/>
    <s v="STAFF-470"/>
    <x v="350"/>
    <x v="1"/>
    <x v="8"/>
    <x v="2"/>
    <s v="Yes"/>
    <s v="Y"/>
    <n v="5"/>
    <n v="-2"/>
    <n v="0"/>
    <x v="19"/>
    <n v="0"/>
    <m/>
    <n v="0"/>
    <n v="1"/>
    <n v="544"/>
    <n v="2"/>
    <x v="1"/>
    <n v="1"/>
    <n v="4"/>
    <n v="52"/>
    <n v="3"/>
    <n v="1"/>
    <n v="4"/>
    <n v="2696"/>
    <n v="24017"/>
    <n v="0"/>
    <n v="11"/>
    <n v="3"/>
    <n v="3"/>
    <n v="80"/>
    <n v="1"/>
    <n v="4"/>
    <n v="3"/>
    <n v="3"/>
    <n v="2"/>
    <n v="1"/>
    <n v="0"/>
  </r>
  <r>
    <s v="No"/>
    <s v="Travel_Rarely"/>
    <x v="2"/>
    <s v="Current Employees"/>
    <x v="1"/>
    <x v="2"/>
    <s v="STAFF-471"/>
    <x v="351"/>
    <x v="0"/>
    <x v="2"/>
    <x v="1"/>
    <s v="No"/>
    <s v="Y"/>
    <n v="4"/>
    <n v="-2"/>
    <n v="0"/>
    <x v="5"/>
    <n v="0"/>
    <m/>
    <n v="0"/>
    <n v="1"/>
    <n v="1062"/>
    <n v="2"/>
    <x v="3"/>
    <n v="1"/>
    <n v="3"/>
    <n v="75"/>
    <n v="3"/>
    <n v="1"/>
    <n v="3"/>
    <n v="2370"/>
    <n v="3956"/>
    <n v="1"/>
    <n v="13"/>
    <n v="3"/>
    <n v="3"/>
    <n v="80"/>
    <n v="1"/>
    <n v="8"/>
    <n v="3"/>
    <n v="8"/>
    <n v="0"/>
    <n v="0"/>
    <n v="7"/>
  </r>
  <r>
    <s v="No"/>
    <s v="Travel_Rarely"/>
    <x v="1"/>
    <s v="Current Employees"/>
    <x v="0"/>
    <x v="2"/>
    <s v="STAFF-473"/>
    <x v="352"/>
    <x v="0"/>
    <x v="5"/>
    <x v="1"/>
    <s v="No"/>
    <s v="Y"/>
    <n v="3"/>
    <n v="-2"/>
    <n v="0"/>
    <x v="26"/>
    <n v="0"/>
    <m/>
    <n v="0"/>
    <n v="1"/>
    <n v="530"/>
    <n v="29"/>
    <x v="1"/>
    <n v="1"/>
    <n v="1"/>
    <n v="91"/>
    <n v="3"/>
    <n v="3"/>
    <n v="3"/>
    <n v="12504"/>
    <n v="23978"/>
    <n v="3"/>
    <n v="21"/>
    <n v="4"/>
    <n v="2"/>
    <n v="80"/>
    <n v="1"/>
    <n v="15"/>
    <n v="1"/>
    <n v="0"/>
    <n v="0"/>
    <n v="0"/>
    <n v="0"/>
  </r>
  <r>
    <s v="No"/>
    <s v="Travel_Rarely"/>
    <x v="0"/>
    <s v="Current Employees"/>
    <x v="1"/>
    <x v="2"/>
    <s v="STAFF-474"/>
    <x v="353"/>
    <x v="1"/>
    <x v="1"/>
    <x v="2"/>
    <s v="Yes"/>
    <s v="Y"/>
    <n v="2"/>
    <n v="-2"/>
    <n v="0"/>
    <x v="2"/>
    <n v="0"/>
    <m/>
    <n v="0"/>
    <n v="1"/>
    <n v="1319"/>
    <n v="6"/>
    <x v="3"/>
    <n v="1"/>
    <n v="3"/>
    <n v="51"/>
    <n v="4"/>
    <n v="2"/>
    <n v="3"/>
    <n v="5974"/>
    <n v="17001"/>
    <n v="4"/>
    <n v="13"/>
    <n v="3"/>
    <n v="1"/>
    <n v="80"/>
    <n v="2"/>
    <n v="13"/>
    <n v="3"/>
    <n v="7"/>
    <n v="7"/>
    <n v="6"/>
    <n v="7"/>
  </r>
  <r>
    <s v="No"/>
    <s v="Non-Travel"/>
    <x v="2"/>
    <s v="Current Employees"/>
    <x v="0"/>
    <x v="4"/>
    <s v="STAFF-475"/>
    <x v="354"/>
    <x v="0"/>
    <x v="0"/>
    <x v="1"/>
    <s v="Yes"/>
    <s v="Y"/>
    <n v="2"/>
    <n v="-2"/>
    <n v="0"/>
    <x v="7"/>
    <n v="0"/>
    <m/>
    <n v="0"/>
    <n v="1"/>
    <n v="641"/>
    <n v="25"/>
    <x v="0"/>
    <n v="1"/>
    <n v="4"/>
    <n v="85"/>
    <n v="3"/>
    <n v="2"/>
    <n v="4"/>
    <n v="4736"/>
    <n v="6069"/>
    <n v="7"/>
    <n v="12"/>
    <n v="3"/>
    <n v="2"/>
    <n v="80"/>
    <n v="1"/>
    <n v="4"/>
    <n v="4"/>
    <n v="2"/>
    <n v="2"/>
    <n v="2"/>
    <n v="2"/>
  </r>
  <r>
    <s v="No"/>
    <s v="Travel_Rarely"/>
    <x v="2"/>
    <s v="Current Employees"/>
    <x v="0"/>
    <x v="0"/>
    <s v="STAFF-476"/>
    <x v="355"/>
    <x v="1"/>
    <x v="0"/>
    <x v="1"/>
    <s v="No"/>
    <s v="Y"/>
    <n v="3"/>
    <n v="-2"/>
    <n v="0"/>
    <x v="25"/>
    <n v="0"/>
    <m/>
    <n v="0"/>
    <n v="1"/>
    <n v="933"/>
    <n v="1"/>
    <x v="3"/>
    <n v="1"/>
    <n v="3"/>
    <n v="57"/>
    <n v="3"/>
    <n v="2"/>
    <n v="2"/>
    <n v="5296"/>
    <n v="20156"/>
    <n v="1"/>
    <n v="17"/>
    <n v="3"/>
    <n v="2"/>
    <n v="80"/>
    <n v="1"/>
    <n v="8"/>
    <n v="3"/>
    <n v="8"/>
    <n v="7"/>
    <n v="7"/>
    <n v="7"/>
  </r>
  <r>
    <s v="No"/>
    <s v="Travel_Rarely"/>
    <x v="0"/>
    <s v="Current Employees"/>
    <x v="1"/>
    <x v="1"/>
    <s v="STAFF-477"/>
    <x v="356"/>
    <x v="1"/>
    <x v="4"/>
    <x v="0"/>
    <s v="No"/>
    <s v="Y"/>
    <n v="6"/>
    <n v="-2"/>
    <n v="0"/>
    <x v="19"/>
    <n v="0"/>
    <m/>
    <n v="0"/>
    <n v="1"/>
    <n v="1332"/>
    <n v="2"/>
    <x v="2"/>
    <n v="1"/>
    <n v="1"/>
    <n v="98"/>
    <n v="2"/>
    <n v="2"/>
    <n v="4"/>
    <n v="6781"/>
    <n v="17078"/>
    <n v="3"/>
    <n v="23"/>
    <n v="4"/>
    <n v="2"/>
    <n v="80"/>
    <n v="0"/>
    <n v="14"/>
    <n v="3"/>
    <n v="1"/>
    <n v="0"/>
    <n v="0"/>
    <n v="0"/>
  </r>
  <r>
    <s v="Yes"/>
    <s v="Travel_Frequently"/>
    <x v="4"/>
    <s v="Ex-Employees"/>
    <x v="0"/>
    <x v="4"/>
    <s v="STAFF-478"/>
    <x v="357"/>
    <x v="0"/>
    <x v="6"/>
    <x v="0"/>
    <s v="Yes"/>
    <s v="Y"/>
    <n v="3"/>
    <n v="-2"/>
    <n v="0"/>
    <x v="18"/>
    <n v="1"/>
    <n v="1"/>
    <n v="1"/>
    <n v="0"/>
    <n v="756"/>
    <n v="1"/>
    <x v="1"/>
    <n v="1"/>
    <n v="4"/>
    <n v="99"/>
    <n v="2"/>
    <n v="1"/>
    <n v="4"/>
    <n v="2174"/>
    <n v="9150"/>
    <n v="1"/>
    <n v="11"/>
    <n v="3"/>
    <n v="3"/>
    <n v="80"/>
    <n v="0"/>
    <n v="3"/>
    <n v="3"/>
    <n v="3"/>
    <n v="2"/>
    <n v="1"/>
    <n v="2"/>
  </r>
  <r>
    <s v="No"/>
    <s v="Non-Travel"/>
    <x v="0"/>
    <s v="Current Employees"/>
    <x v="0"/>
    <x v="2"/>
    <s v="STAFF-479"/>
    <x v="358"/>
    <x v="0"/>
    <x v="0"/>
    <x v="0"/>
    <s v="No"/>
    <s v="Y"/>
    <n v="6"/>
    <n v="-2"/>
    <n v="0"/>
    <x v="9"/>
    <n v="0"/>
    <m/>
    <n v="0"/>
    <n v="1"/>
    <n v="845"/>
    <n v="1"/>
    <x v="4"/>
    <n v="1"/>
    <n v="4"/>
    <n v="45"/>
    <n v="3"/>
    <n v="2"/>
    <n v="4"/>
    <n v="6653"/>
    <n v="15276"/>
    <n v="4"/>
    <n v="15"/>
    <n v="3"/>
    <n v="2"/>
    <n v="80"/>
    <n v="0"/>
    <n v="7"/>
    <n v="3"/>
    <n v="1"/>
    <n v="0"/>
    <n v="0"/>
    <n v="0"/>
  </r>
  <r>
    <s v="No"/>
    <s v="Travel_Frequently"/>
    <x v="0"/>
    <s v="Current Employees"/>
    <x v="0"/>
    <x v="2"/>
    <s v="STAFF-481"/>
    <x v="359"/>
    <x v="1"/>
    <x v="0"/>
    <x v="1"/>
    <s v="No"/>
    <s v="Y"/>
    <n v="2"/>
    <n v="-2"/>
    <n v="0"/>
    <x v="9"/>
    <n v="0"/>
    <m/>
    <n v="0"/>
    <n v="1"/>
    <n v="541"/>
    <n v="3"/>
    <x v="2"/>
    <n v="1"/>
    <n v="1"/>
    <n v="48"/>
    <n v="2"/>
    <n v="3"/>
    <n v="4"/>
    <n v="9699"/>
    <n v="7246"/>
    <n v="4"/>
    <n v="11"/>
    <n v="3"/>
    <n v="1"/>
    <n v="80"/>
    <n v="1"/>
    <n v="16"/>
    <n v="3"/>
    <n v="13"/>
    <n v="9"/>
    <n v="1"/>
    <n v="12"/>
  </r>
  <r>
    <s v="No"/>
    <s v="Travel_Rarely"/>
    <x v="3"/>
    <s v="Current Employees"/>
    <x v="1"/>
    <x v="2"/>
    <s v="STAFF-482"/>
    <x v="360"/>
    <x v="1"/>
    <x v="4"/>
    <x v="1"/>
    <s v="No"/>
    <s v="Y"/>
    <n v="2"/>
    <n v="-2"/>
    <n v="0"/>
    <x v="38"/>
    <n v="0"/>
    <m/>
    <n v="0"/>
    <n v="1"/>
    <n v="593"/>
    <n v="1"/>
    <x v="2"/>
    <n v="1"/>
    <n v="4"/>
    <n v="88"/>
    <n v="3"/>
    <n v="2"/>
    <n v="3"/>
    <n v="6755"/>
    <n v="2967"/>
    <n v="2"/>
    <n v="11"/>
    <n v="3"/>
    <n v="3"/>
    <n v="80"/>
    <n v="0"/>
    <n v="15"/>
    <n v="3"/>
    <n v="3"/>
    <n v="2"/>
    <n v="1"/>
    <n v="2"/>
  </r>
  <r>
    <s v="No"/>
    <s v="Travel_Rarely"/>
    <x v="0"/>
    <s v="Current Employees"/>
    <x v="1"/>
    <x v="0"/>
    <s v="STAFF-483"/>
    <x v="361"/>
    <x v="0"/>
    <x v="2"/>
    <x v="1"/>
    <s v="Yes"/>
    <s v="Y"/>
    <n v="3"/>
    <n v="-2"/>
    <n v="0"/>
    <x v="32"/>
    <n v="0"/>
    <m/>
    <n v="0"/>
    <n v="1"/>
    <n v="1171"/>
    <n v="10"/>
    <x v="2"/>
    <n v="1"/>
    <n v="4"/>
    <n v="46"/>
    <n v="4"/>
    <n v="1"/>
    <n v="2"/>
    <n v="2213"/>
    <n v="22495"/>
    <n v="3"/>
    <n v="13"/>
    <n v="3"/>
    <n v="3"/>
    <n v="80"/>
    <n v="1"/>
    <n v="10"/>
    <n v="3"/>
    <n v="7"/>
    <n v="7"/>
    <n v="1"/>
    <n v="7"/>
  </r>
  <r>
    <s v="No"/>
    <s v="Non-Travel"/>
    <x v="4"/>
    <s v="Current Employees"/>
    <x v="0"/>
    <x v="2"/>
    <s v="STAFF-484"/>
    <x v="362"/>
    <x v="1"/>
    <x v="6"/>
    <x v="0"/>
    <s v="No"/>
    <s v="Y"/>
    <n v="3"/>
    <n v="-2"/>
    <n v="0"/>
    <x v="18"/>
    <n v="0"/>
    <m/>
    <n v="0"/>
    <n v="1"/>
    <n v="895"/>
    <n v="9"/>
    <x v="0"/>
    <n v="1"/>
    <n v="1"/>
    <n v="39"/>
    <n v="3"/>
    <n v="1"/>
    <n v="4"/>
    <n v="2610"/>
    <n v="2851"/>
    <n v="1"/>
    <n v="24"/>
    <n v="4"/>
    <n v="3"/>
    <n v="80"/>
    <n v="0"/>
    <n v="3"/>
    <n v="2"/>
    <n v="3"/>
    <n v="2"/>
    <n v="2"/>
    <n v="2"/>
  </r>
  <r>
    <s v="Yes"/>
    <s v="Travel_Rarely"/>
    <x v="2"/>
    <s v="Ex-Employees"/>
    <x v="0"/>
    <x v="3"/>
    <s v="STAFF-485"/>
    <x v="363"/>
    <x v="0"/>
    <x v="6"/>
    <x v="0"/>
    <s v="Yes"/>
    <s v="Y"/>
    <n v="2"/>
    <n v="-2"/>
    <n v="0"/>
    <x v="3"/>
    <n v="1"/>
    <n v="1"/>
    <n v="1"/>
    <n v="0"/>
    <n v="350"/>
    <n v="5"/>
    <x v="3"/>
    <n v="1"/>
    <n v="4"/>
    <n v="34"/>
    <n v="3"/>
    <n v="1"/>
    <n v="1"/>
    <n v="2851"/>
    <n v="9150"/>
    <n v="1"/>
    <n v="13"/>
    <n v="3"/>
    <n v="2"/>
    <n v="80"/>
    <n v="0"/>
    <n v="1"/>
    <n v="3"/>
    <n v="1"/>
    <n v="0"/>
    <n v="0"/>
    <n v="0"/>
  </r>
  <r>
    <s v="No"/>
    <s v="Travel_Rarely"/>
    <x v="0"/>
    <s v="Current Employees"/>
    <x v="1"/>
    <x v="2"/>
    <s v="STAFF-486"/>
    <x v="364"/>
    <x v="0"/>
    <x v="2"/>
    <x v="1"/>
    <s v="No"/>
    <s v="Y"/>
    <n v="3"/>
    <n v="-2"/>
    <n v="0"/>
    <x v="2"/>
    <n v="0"/>
    <m/>
    <n v="0"/>
    <n v="1"/>
    <n v="921"/>
    <n v="10"/>
    <x v="3"/>
    <n v="1"/>
    <n v="3"/>
    <n v="98"/>
    <n v="3"/>
    <n v="1"/>
    <n v="3"/>
    <n v="3452"/>
    <n v="17663"/>
    <n v="6"/>
    <n v="20"/>
    <n v="4"/>
    <n v="2"/>
    <n v="80"/>
    <n v="1"/>
    <n v="17"/>
    <n v="3"/>
    <n v="5"/>
    <n v="4"/>
    <n v="0"/>
    <n v="3"/>
  </r>
  <r>
    <s v="No"/>
    <s v="Non-Travel"/>
    <x v="1"/>
    <s v="Current Employees"/>
    <x v="1"/>
    <x v="2"/>
    <s v="STAFF-487"/>
    <x v="365"/>
    <x v="0"/>
    <x v="3"/>
    <x v="1"/>
    <s v="No"/>
    <s v="Y"/>
    <n v="2"/>
    <n v="-2"/>
    <n v="0"/>
    <x v="21"/>
    <n v="0"/>
    <m/>
    <n v="0"/>
    <n v="1"/>
    <n v="1144"/>
    <n v="7"/>
    <x v="2"/>
    <n v="1"/>
    <n v="3"/>
    <n v="30"/>
    <n v="3"/>
    <n v="2"/>
    <n v="3"/>
    <n v="5258"/>
    <n v="16044"/>
    <n v="2"/>
    <n v="14"/>
    <n v="3"/>
    <n v="3"/>
    <n v="80"/>
    <n v="0"/>
    <n v="7"/>
    <n v="4"/>
    <n v="1"/>
    <n v="0"/>
    <n v="0"/>
    <n v="0"/>
  </r>
  <r>
    <s v="Yes"/>
    <s v="Travel_Frequently"/>
    <x v="0"/>
    <s v="Ex-Employees"/>
    <x v="0"/>
    <x v="3"/>
    <s v="STAFF-488"/>
    <x v="366"/>
    <x v="1"/>
    <x v="0"/>
    <x v="0"/>
    <s v="No"/>
    <s v="Y"/>
    <n v="5"/>
    <n v="-2"/>
    <n v="0"/>
    <x v="0"/>
    <n v="1"/>
    <n v="1"/>
    <n v="1"/>
    <n v="0"/>
    <n v="143"/>
    <n v="4"/>
    <x v="3"/>
    <n v="1"/>
    <n v="1"/>
    <n v="56"/>
    <n v="3"/>
    <n v="2"/>
    <n v="1"/>
    <n v="9355"/>
    <n v="9558"/>
    <n v="1"/>
    <n v="18"/>
    <n v="3"/>
    <n v="3"/>
    <n v="80"/>
    <n v="0"/>
    <n v="8"/>
    <n v="3"/>
    <n v="8"/>
    <n v="7"/>
    <n v="7"/>
    <n v="7"/>
  </r>
  <r>
    <s v="No"/>
    <s v="Travel_Rarely"/>
    <x v="1"/>
    <s v="Current Employees"/>
    <x v="1"/>
    <x v="4"/>
    <s v="STAFF-491"/>
    <x v="367"/>
    <x v="1"/>
    <x v="4"/>
    <x v="0"/>
    <s v="No"/>
    <s v="Y"/>
    <n v="2"/>
    <n v="-2"/>
    <n v="0"/>
    <x v="24"/>
    <n v="0"/>
    <m/>
    <n v="0"/>
    <n v="1"/>
    <n v="1046"/>
    <n v="10"/>
    <x v="3"/>
    <n v="1"/>
    <n v="4"/>
    <n v="100"/>
    <n v="2"/>
    <n v="3"/>
    <n v="4"/>
    <n v="10496"/>
    <n v="2755"/>
    <n v="6"/>
    <n v="15"/>
    <n v="3"/>
    <n v="4"/>
    <n v="80"/>
    <n v="0"/>
    <n v="20"/>
    <n v="3"/>
    <n v="4"/>
    <n v="3"/>
    <n v="1"/>
    <n v="3"/>
  </r>
  <r>
    <s v="Yes"/>
    <s v="Travel_Rarely"/>
    <x v="0"/>
    <s v="Ex-Employees"/>
    <x v="0"/>
    <x v="3"/>
    <s v="STAFF-492"/>
    <x v="368"/>
    <x v="1"/>
    <x v="0"/>
    <x v="1"/>
    <s v="Yes"/>
    <s v="Y"/>
    <n v="6"/>
    <n v="-2"/>
    <n v="0"/>
    <x v="32"/>
    <n v="1"/>
    <n v="1"/>
    <n v="1"/>
    <n v="0"/>
    <n v="575"/>
    <n v="22"/>
    <x v="0"/>
    <n v="1"/>
    <n v="3"/>
    <n v="68"/>
    <n v="2"/>
    <n v="2"/>
    <n v="1"/>
    <n v="6380"/>
    <n v="6110"/>
    <n v="2"/>
    <n v="12"/>
    <n v="3"/>
    <n v="1"/>
    <n v="80"/>
    <n v="2"/>
    <n v="8"/>
    <n v="3"/>
    <n v="6"/>
    <n v="4"/>
    <n v="1"/>
    <n v="0"/>
  </r>
  <r>
    <s v="No"/>
    <s v="Travel_Rarely"/>
    <x v="2"/>
    <s v="Current Employees"/>
    <x v="1"/>
    <x v="0"/>
    <s v="STAFF-493"/>
    <x v="369"/>
    <x v="1"/>
    <x v="1"/>
    <x v="0"/>
    <s v="Yes"/>
    <s v="Y"/>
    <n v="5"/>
    <n v="-2"/>
    <n v="0"/>
    <x v="12"/>
    <n v="0"/>
    <m/>
    <n v="0"/>
    <n v="1"/>
    <n v="408"/>
    <n v="9"/>
    <x v="2"/>
    <n v="1"/>
    <n v="3"/>
    <n v="42"/>
    <n v="2"/>
    <n v="1"/>
    <n v="2"/>
    <n v="2657"/>
    <n v="7551"/>
    <n v="0"/>
    <n v="16"/>
    <n v="3"/>
    <n v="4"/>
    <n v="80"/>
    <n v="0"/>
    <n v="3"/>
    <n v="3"/>
    <n v="2"/>
    <n v="2"/>
    <n v="2"/>
    <n v="2"/>
  </r>
  <r>
    <s v="Yes"/>
    <s v="Travel_Rarely"/>
    <x v="4"/>
    <s v="Ex-Employees"/>
    <x v="0"/>
    <x v="0"/>
    <s v="STAFF-494"/>
    <x v="370"/>
    <x v="0"/>
    <x v="6"/>
    <x v="0"/>
    <s v="No"/>
    <s v="Y"/>
    <n v="0"/>
    <n v="-2"/>
    <n v="0"/>
    <x v="18"/>
    <n v="1"/>
    <n v="1"/>
    <n v="1"/>
    <n v="0"/>
    <n v="156"/>
    <n v="12"/>
    <x v="3"/>
    <n v="1"/>
    <n v="3"/>
    <n v="90"/>
    <n v="4"/>
    <n v="1"/>
    <n v="2"/>
    <n v="2716"/>
    <n v="25422"/>
    <n v="1"/>
    <n v="15"/>
    <n v="3"/>
    <n v="4"/>
    <n v="80"/>
    <n v="0"/>
    <n v="1"/>
    <n v="3"/>
    <n v="1"/>
    <n v="0"/>
    <n v="0"/>
    <n v="0"/>
  </r>
  <r>
    <s v="No"/>
    <s v="Travel_Rarely"/>
    <x v="2"/>
    <s v="Current Employees"/>
    <x v="1"/>
    <x v="0"/>
    <s v="STAFF-495"/>
    <x v="371"/>
    <x v="1"/>
    <x v="1"/>
    <x v="0"/>
    <s v="No"/>
    <s v="Y"/>
    <n v="4"/>
    <n v="-2"/>
    <n v="0"/>
    <x v="11"/>
    <n v="0"/>
    <m/>
    <n v="0"/>
    <n v="1"/>
    <n v="1283"/>
    <n v="23"/>
    <x v="3"/>
    <n v="1"/>
    <n v="4"/>
    <n v="54"/>
    <n v="3"/>
    <n v="1"/>
    <n v="2"/>
    <n v="2201"/>
    <n v="18168"/>
    <n v="9"/>
    <n v="16"/>
    <n v="3"/>
    <n v="4"/>
    <n v="80"/>
    <n v="0"/>
    <n v="6"/>
    <n v="3"/>
    <n v="3"/>
    <n v="2"/>
    <n v="1"/>
    <n v="2"/>
  </r>
  <r>
    <s v="No"/>
    <s v="Travel_Rarely"/>
    <x v="0"/>
    <s v="Current Employees"/>
    <x v="1"/>
    <x v="0"/>
    <s v="STAFF-496"/>
    <x v="372"/>
    <x v="1"/>
    <x v="4"/>
    <x v="0"/>
    <s v="No"/>
    <s v="Y"/>
    <n v="5"/>
    <n v="-2"/>
    <n v="0"/>
    <x v="10"/>
    <n v="0"/>
    <m/>
    <n v="0"/>
    <n v="1"/>
    <n v="755"/>
    <n v="9"/>
    <x v="2"/>
    <n v="1"/>
    <n v="3"/>
    <n v="97"/>
    <n v="2"/>
    <n v="2"/>
    <n v="2"/>
    <n v="6540"/>
    <n v="19394"/>
    <n v="9"/>
    <n v="19"/>
    <n v="3"/>
    <n v="3"/>
    <n v="80"/>
    <n v="0"/>
    <n v="10"/>
    <n v="3"/>
    <n v="1"/>
    <n v="1"/>
    <n v="0"/>
    <n v="0"/>
  </r>
  <r>
    <s v="No"/>
    <s v="Travel_Rarely"/>
    <x v="2"/>
    <s v="Current Employees"/>
    <x v="1"/>
    <x v="2"/>
    <s v="STAFF-497"/>
    <x v="373"/>
    <x v="1"/>
    <x v="2"/>
    <x v="2"/>
    <s v="No"/>
    <s v="Y"/>
    <n v="2"/>
    <n v="-2"/>
    <n v="0"/>
    <x v="4"/>
    <n v="0"/>
    <m/>
    <n v="0"/>
    <n v="1"/>
    <n v="1469"/>
    <n v="1"/>
    <x v="0"/>
    <n v="1"/>
    <n v="4"/>
    <n v="82"/>
    <n v="3"/>
    <n v="1"/>
    <n v="3"/>
    <n v="3816"/>
    <n v="17881"/>
    <n v="1"/>
    <n v="11"/>
    <n v="3"/>
    <n v="2"/>
    <n v="80"/>
    <n v="1"/>
    <n v="5"/>
    <n v="3"/>
    <n v="5"/>
    <n v="2"/>
    <n v="0"/>
    <n v="4"/>
  </r>
  <r>
    <s v="No"/>
    <s v="Travel_Rarely"/>
    <x v="2"/>
    <s v="Current Employees"/>
    <x v="0"/>
    <x v="0"/>
    <s v="STAFF-498"/>
    <x v="374"/>
    <x v="1"/>
    <x v="0"/>
    <x v="0"/>
    <s v="No"/>
    <s v="Y"/>
    <n v="1"/>
    <n v="-2"/>
    <n v="0"/>
    <x v="14"/>
    <n v="0"/>
    <m/>
    <n v="0"/>
    <n v="1"/>
    <n v="304"/>
    <n v="9"/>
    <x v="2"/>
    <n v="1"/>
    <n v="2"/>
    <n v="92"/>
    <n v="3"/>
    <n v="2"/>
    <n v="2"/>
    <n v="5253"/>
    <n v="20750"/>
    <n v="1"/>
    <n v="16"/>
    <n v="3"/>
    <n v="4"/>
    <n v="80"/>
    <n v="0"/>
    <n v="7"/>
    <n v="3"/>
    <n v="7"/>
    <n v="5"/>
    <n v="0"/>
    <n v="7"/>
  </r>
  <r>
    <s v="No"/>
    <s v="Travel_Rarely"/>
    <x v="1"/>
    <s v="Current Employees"/>
    <x v="1"/>
    <x v="1"/>
    <s v="STAFF-499"/>
    <x v="375"/>
    <x v="1"/>
    <x v="4"/>
    <x v="0"/>
    <s v="No"/>
    <s v="Y"/>
    <n v="2"/>
    <n v="-2"/>
    <n v="0"/>
    <x v="1"/>
    <n v="0"/>
    <m/>
    <n v="0"/>
    <n v="1"/>
    <n v="1261"/>
    <n v="7"/>
    <x v="3"/>
    <n v="1"/>
    <n v="2"/>
    <n v="31"/>
    <n v="2"/>
    <n v="3"/>
    <n v="3"/>
    <n v="10965"/>
    <n v="12066"/>
    <n v="8"/>
    <n v="24"/>
    <n v="4"/>
    <n v="3"/>
    <n v="80"/>
    <n v="0"/>
    <n v="26"/>
    <n v="3"/>
    <n v="5"/>
    <n v="2"/>
    <n v="0"/>
    <n v="0"/>
  </r>
  <r>
    <s v="No"/>
    <s v="Travel_Rarely"/>
    <x v="1"/>
    <s v="Current Employees"/>
    <x v="0"/>
    <x v="0"/>
    <s v="STAFF-500"/>
    <x v="376"/>
    <x v="0"/>
    <x v="0"/>
    <x v="1"/>
    <s v="No"/>
    <s v="Y"/>
    <n v="2"/>
    <n v="-2"/>
    <n v="0"/>
    <x v="31"/>
    <n v="0"/>
    <m/>
    <n v="0"/>
    <n v="1"/>
    <n v="1178"/>
    <n v="14"/>
    <x v="0"/>
    <n v="1"/>
    <n v="3"/>
    <n v="87"/>
    <n v="3"/>
    <n v="2"/>
    <n v="2"/>
    <n v="4936"/>
    <n v="14862"/>
    <n v="4"/>
    <n v="11"/>
    <n v="3"/>
    <n v="3"/>
    <n v="80"/>
    <n v="1"/>
    <n v="18"/>
    <n v="2"/>
    <n v="7"/>
    <n v="7"/>
    <n v="0"/>
    <n v="7"/>
  </r>
  <r>
    <s v="No"/>
    <s v="Travel_Rarely"/>
    <x v="0"/>
    <s v="Current Employees"/>
    <x v="1"/>
    <x v="0"/>
    <s v="STAFF-501"/>
    <x v="377"/>
    <x v="0"/>
    <x v="1"/>
    <x v="1"/>
    <s v="No"/>
    <s v="Y"/>
    <n v="3"/>
    <n v="-2"/>
    <n v="0"/>
    <x v="9"/>
    <n v="0"/>
    <m/>
    <n v="0"/>
    <n v="1"/>
    <n v="329"/>
    <n v="2"/>
    <x v="3"/>
    <n v="1"/>
    <n v="4"/>
    <n v="96"/>
    <n v="3"/>
    <n v="1"/>
    <n v="2"/>
    <n v="2543"/>
    <n v="11868"/>
    <n v="4"/>
    <n v="13"/>
    <n v="3"/>
    <n v="2"/>
    <n v="80"/>
    <n v="1"/>
    <n v="6"/>
    <n v="3"/>
    <n v="2"/>
    <n v="2"/>
    <n v="2"/>
    <n v="2"/>
  </r>
  <r>
    <s v="Yes"/>
    <s v="Non-Travel"/>
    <x v="2"/>
    <s v="Ex-Employees"/>
    <x v="0"/>
    <x v="3"/>
    <s v="STAFF-502"/>
    <x v="378"/>
    <x v="1"/>
    <x v="0"/>
    <x v="0"/>
    <s v="Yes"/>
    <s v="Y"/>
    <n v="3"/>
    <n v="-2"/>
    <n v="0"/>
    <x v="13"/>
    <n v="1"/>
    <n v="1"/>
    <n v="1"/>
    <n v="0"/>
    <n v="1362"/>
    <n v="19"/>
    <x v="3"/>
    <n v="1"/>
    <n v="1"/>
    <n v="67"/>
    <n v="4"/>
    <n v="2"/>
    <n v="1"/>
    <n v="5304"/>
    <n v="4652"/>
    <n v="8"/>
    <n v="13"/>
    <n v="3"/>
    <n v="2"/>
    <n v="80"/>
    <n v="0"/>
    <n v="9"/>
    <n v="2"/>
    <n v="5"/>
    <n v="2"/>
    <n v="0"/>
    <n v="4"/>
  </r>
  <r>
    <s v="No"/>
    <s v="Travel_Rarely"/>
    <x v="3"/>
    <s v="Current Employees"/>
    <x v="1"/>
    <x v="0"/>
    <s v="STAFF-505"/>
    <x v="379"/>
    <x v="0"/>
    <x v="5"/>
    <x v="0"/>
    <s v="Yes"/>
    <s v="Y"/>
    <n v="2"/>
    <n v="-2"/>
    <n v="0"/>
    <x v="27"/>
    <n v="0"/>
    <m/>
    <n v="0"/>
    <n v="1"/>
    <n v="1311"/>
    <n v="2"/>
    <x v="3"/>
    <n v="1"/>
    <n v="3"/>
    <n v="97"/>
    <n v="3"/>
    <n v="4"/>
    <n v="2"/>
    <n v="16659"/>
    <n v="23258"/>
    <n v="2"/>
    <n v="13"/>
    <n v="3"/>
    <n v="3"/>
    <n v="80"/>
    <n v="0"/>
    <n v="30"/>
    <n v="3"/>
    <n v="5"/>
    <n v="4"/>
    <n v="1"/>
    <n v="2"/>
  </r>
  <r>
    <s v="No"/>
    <s v="Travel_Rarely"/>
    <x v="4"/>
    <s v="Current Employees"/>
    <x v="0"/>
    <x v="3"/>
    <s v="STAFF-507"/>
    <x v="380"/>
    <x v="0"/>
    <x v="0"/>
    <x v="2"/>
    <s v="Yes"/>
    <s v="Y"/>
    <n v="2"/>
    <n v="-2"/>
    <n v="0"/>
    <x v="17"/>
    <n v="0"/>
    <m/>
    <n v="0"/>
    <n v="1"/>
    <n v="1371"/>
    <n v="10"/>
    <x v="2"/>
    <n v="1"/>
    <n v="4"/>
    <n v="77"/>
    <n v="3"/>
    <n v="2"/>
    <n v="1"/>
    <n v="4260"/>
    <n v="5915"/>
    <n v="1"/>
    <n v="12"/>
    <n v="3"/>
    <n v="4"/>
    <n v="80"/>
    <n v="1"/>
    <n v="5"/>
    <n v="4"/>
    <n v="5"/>
    <n v="2"/>
    <n v="0"/>
    <n v="3"/>
  </r>
  <r>
    <s v="No"/>
    <s v="Travel_Rarely"/>
    <x v="2"/>
    <s v="Current Employees"/>
    <x v="0"/>
    <x v="4"/>
    <s v="STAFF-508"/>
    <x v="381"/>
    <x v="1"/>
    <x v="6"/>
    <x v="1"/>
    <s v="No"/>
    <s v="Y"/>
    <n v="3"/>
    <n v="-2"/>
    <n v="0"/>
    <x v="7"/>
    <n v="0"/>
    <m/>
    <n v="0"/>
    <n v="1"/>
    <n v="202"/>
    <n v="2"/>
    <x v="1"/>
    <n v="1"/>
    <n v="4"/>
    <n v="72"/>
    <n v="3"/>
    <n v="1"/>
    <n v="4"/>
    <n v="2476"/>
    <n v="17434"/>
    <n v="1"/>
    <n v="18"/>
    <n v="3"/>
    <n v="1"/>
    <n v="80"/>
    <n v="1"/>
    <n v="1"/>
    <n v="3"/>
    <n v="1"/>
    <n v="0"/>
    <n v="0"/>
    <n v="0"/>
  </r>
  <r>
    <s v="Yes"/>
    <s v="Travel_Frequently"/>
    <x v="2"/>
    <s v="Ex-Employees"/>
    <x v="1"/>
    <x v="4"/>
    <s v="STAFF-510"/>
    <x v="382"/>
    <x v="1"/>
    <x v="1"/>
    <x v="0"/>
    <s v="No"/>
    <s v="Y"/>
    <n v="2"/>
    <n v="-2"/>
    <n v="0"/>
    <x v="25"/>
    <n v="1"/>
    <n v="1"/>
    <n v="1"/>
    <n v="0"/>
    <n v="575"/>
    <n v="3"/>
    <x v="1"/>
    <n v="1"/>
    <n v="4"/>
    <n v="73"/>
    <n v="3"/>
    <n v="1"/>
    <n v="4"/>
    <n v="3102"/>
    <n v="6582"/>
    <n v="0"/>
    <n v="22"/>
    <n v="4"/>
    <n v="3"/>
    <n v="80"/>
    <n v="0"/>
    <n v="7"/>
    <n v="3"/>
    <n v="6"/>
    <n v="4"/>
    <n v="0"/>
    <n v="4"/>
  </r>
  <r>
    <s v="No"/>
    <s v="Travel_Rarely"/>
    <x v="4"/>
    <s v="Current Employees"/>
    <x v="1"/>
    <x v="2"/>
    <s v="STAFF-511"/>
    <x v="383"/>
    <x v="0"/>
    <x v="1"/>
    <x v="1"/>
    <s v="No"/>
    <s v="Y"/>
    <n v="1"/>
    <n v="-2"/>
    <n v="0"/>
    <x v="15"/>
    <n v="0"/>
    <m/>
    <n v="0"/>
    <n v="1"/>
    <n v="253"/>
    <n v="11"/>
    <x v="3"/>
    <n v="1"/>
    <n v="1"/>
    <n v="43"/>
    <n v="3"/>
    <n v="1"/>
    <n v="3"/>
    <n v="2244"/>
    <n v="24440"/>
    <n v="1"/>
    <n v="13"/>
    <n v="3"/>
    <n v="4"/>
    <n v="80"/>
    <n v="1"/>
    <n v="2"/>
    <n v="3"/>
    <n v="2"/>
    <n v="1"/>
    <n v="1"/>
    <n v="2"/>
  </r>
  <r>
    <s v="No"/>
    <s v="Travel_Rarely"/>
    <x v="0"/>
    <s v="Current Employees"/>
    <x v="0"/>
    <x v="2"/>
    <s v="STAFF-513"/>
    <x v="384"/>
    <x v="1"/>
    <x v="0"/>
    <x v="1"/>
    <s v="No"/>
    <s v="Y"/>
    <n v="2"/>
    <n v="-2"/>
    <n v="0"/>
    <x v="9"/>
    <n v="0"/>
    <m/>
    <n v="0"/>
    <n v="1"/>
    <n v="164"/>
    <n v="2"/>
    <x v="0"/>
    <n v="1"/>
    <n v="2"/>
    <n v="61"/>
    <n v="2"/>
    <n v="3"/>
    <n v="3"/>
    <n v="7596"/>
    <n v="3809"/>
    <n v="1"/>
    <n v="13"/>
    <n v="3"/>
    <n v="2"/>
    <n v="80"/>
    <n v="2"/>
    <n v="10"/>
    <n v="3"/>
    <n v="10"/>
    <n v="9"/>
    <n v="9"/>
    <n v="0"/>
  </r>
  <r>
    <s v="Yes"/>
    <s v="Travel_Frequently"/>
    <x v="2"/>
    <s v="Ex-Employees"/>
    <x v="1"/>
    <x v="4"/>
    <s v="STAFF-514"/>
    <x v="385"/>
    <x v="1"/>
    <x v="1"/>
    <x v="0"/>
    <s v="Yes"/>
    <s v="Y"/>
    <n v="4"/>
    <n v="-2"/>
    <n v="0"/>
    <x v="7"/>
    <n v="1"/>
    <n v="1"/>
    <n v="1"/>
    <n v="0"/>
    <n v="464"/>
    <n v="4"/>
    <x v="3"/>
    <n v="1"/>
    <n v="4"/>
    <n v="40"/>
    <n v="3"/>
    <n v="1"/>
    <n v="4"/>
    <n v="2285"/>
    <n v="3427"/>
    <n v="9"/>
    <n v="23"/>
    <n v="4"/>
    <n v="3"/>
    <n v="80"/>
    <n v="0"/>
    <n v="3"/>
    <n v="3"/>
    <n v="1"/>
    <n v="0"/>
    <n v="0"/>
    <n v="0"/>
  </r>
  <r>
    <s v="No"/>
    <s v="Travel_Rarely"/>
    <x v="0"/>
    <s v="Current Employees"/>
    <x v="1"/>
    <x v="0"/>
    <s v="STAFF-515"/>
    <x v="386"/>
    <x v="0"/>
    <x v="2"/>
    <x v="2"/>
    <s v="No"/>
    <s v="Y"/>
    <n v="2"/>
    <n v="-2"/>
    <n v="0"/>
    <x v="2"/>
    <n v="0"/>
    <m/>
    <n v="0"/>
    <n v="1"/>
    <n v="1107"/>
    <n v="14"/>
    <x v="3"/>
    <n v="1"/>
    <n v="4"/>
    <n v="95"/>
    <n v="3"/>
    <n v="1"/>
    <n v="2"/>
    <n v="3034"/>
    <n v="26914"/>
    <n v="1"/>
    <n v="12"/>
    <n v="3"/>
    <n v="3"/>
    <n v="80"/>
    <n v="1"/>
    <n v="18"/>
    <n v="2"/>
    <n v="18"/>
    <n v="7"/>
    <n v="12"/>
    <n v="17"/>
  </r>
  <r>
    <s v="No"/>
    <s v="Travel_Rarely"/>
    <x v="0"/>
    <s v="Current Employees"/>
    <x v="0"/>
    <x v="3"/>
    <s v="STAFF-516"/>
    <x v="387"/>
    <x v="0"/>
    <x v="0"/>
    <x v="2"/>
    <s v="No"/>
    <s v="Y"/>
    <n v="5"/>
    <n v="-2"/>
    <n v="0"/>
    <x v="32"/>
    <n v="0"/>
    <m/>
    <n v="0"/>
    <n v="1"/>
    <n v="759"/>
    <n v="2"/>
    <x v="0"/>
    <n v="1"/>
    <n v="4"/>
    <n v="46"/>
    <n v="3"/>
    <n v="2"/>
    <n v="1"/>
    <n v="5715"/>
    <n v="22553"/>
    <n v="7"/>
    <n v="12"/>
    <n v="3"/>
    <n v="3"/>
    <n v="80"/>
    <n v="2"/>
    <n v="8"/>
    <n v="3"/>
    <n v="5"/>
    <n v="4"/>
    <n v="1"/>
    <n v="3"/>
  </r>
  <r>
    <s v="No"/>
    <s v="Travel_Rarely"/>
    <x v="0"/>
    <s v="Current Employees"/>
    <x v="1"/>
    <x v="0"/>
    <s v="STAFF-517"/>
    <x v="388"/>
    <x v="0"/>
    <x v="2"/>
    <x v="2"/>
    <s v="No"/>
    <s v="Y"/>
    <n v="5"/>
    <n v="-2"/>
    <n v="0"/>
    <x v="19"/>
    <n v="0"/>
    <m/>
    <n v="0"/>
    <n v="1"/>
    <n v="201"/>
    <n v="1"/>
    <x v="2"/>
    <n v="1"/>
    <n v="2"/>
    <n v="95"/>
    <n v="3"/>
    <n v="1"/>
    <n v="2"/>
    <n v="2576"/>
    <n v="20490"/>
    <n v="3"/>
    <n v="16"/>
    <n v="3"/>
    <n v="2"/>
    <n v="80"/>
    <n v="1"/>
    <n v="8"/>
    <n v="3"/>
    <n v="5"/>
    <n v="2"/>
    <n v="1"/>
    <n v="2"/>
  </r>
  <r>
    <s v="No"/>
    <s v="Travel_Rarely"/>
    <x v="0"/>
    <s v="Current Employees"/>
    <x v="1"/>
    <x v="0"/>
    <s v="STAFF-518"/>
    <x v="389"/>
    <x v="1"/>
    <x v="3"/>
    <x v="0"/>
    <s v="Yes"/>
    <s v="Y"/>
    <n v="2"/>
    <n v="-2"/>
    <n v="0"/>
    <x v="2"/>
    <n v="0"/>
    <m/>
    <n v="0"/>
    <n v="1"/>
    <n v="1305"/>
    <n v="10"/>
    <x v="2"/>
    <n v="1"/>
    <n v="3"/>
    <n v="49"/>
    <n v="3"/>
    <n v="2"/>
    <n v="2"/>
    <n v="4197"/>
    <n v="21123"/>
    <n v="2"/>
    <n v="12"/>
    <n v="3"/>
    <n v="4"/>
    <n v="80"/>
    <n v="0"/>
    <n v="18"/>
    <n v="2"/>
    <n v="1"/>
    <n v="0"/>
    <n v="0"/>
    <n v="1"/>
  </r>
  <r>
    <s v="No"/>
    <s v="Travel_Rarely"/>
    <x v="0"/>
    <s v="Current Employees"/>
    <x v="1"/>
    <x v="0"/>
    <s v="STAFF-520"/>
    <x v="390"/>
    <x v="1"/>
    <x v="7"/>
    <x v="2"/>
    <s v="No"/>
    <s v="Y"/>
    <n v="3"/>
    <n v="-2"/>
    <n v="0"/>
    <x v="23"/>
    <n v="0"/>
    <m/>
    <n v="0"/>
    <n v="1"/>
    <n v="982"/>
    <n v="12"/>
    <x v="3"/>
    <n v="1"/>
    <n v="1"/>
    <n v="59"/>
    <n v="2"/>
    <n v="4"/>
    <n v="2"/>
    <n v="14336"/>
    <n v="4345"/>
    <n v="1"/>
    <n v="11"/>
    <n v="3"/>
    <n v="3"/>
    <n v="80"/>
    <n v="1"/>
    <n v="25"/>
    <n v="3"/>
    <n v="25"/>
    <n v="10"/>
    <n v="3"/>
    <n v="9"/>
  </r>
  <r>
    <s v="No"/>
    <s v="Travel_Rarely"/>
    <x v="0"/>
    <s v="Current Employees"/>
    <x v="1"/>
    <x v="2"/>
    <s v="STAFF-521"/>
    <x v="391"/>
    <x v="0"/>
    <x v="2"/>
    <x v="1"/>
    <s v="No"/>
    <s v="Y"/>
    <n v="3"/>
    <n v="-2"/>
    <n v="0"/>
    <x v="32"/>
    <n v="0"/>
    <m/>
    <n v="0"/>
    <n v="1"/>
    <n v="555"/>
    <n v="2"/>
    <x v="3"/>
    <n v="1"/>
    <n v="2"/>
    <n v="78"/>
    <n v="2"/>
    <n v="2"/>
    <n v="3"/>
    <n v="3448"/>
    <n v="13436"/>
    <n v="6"/>
    <n v="22"/>
    <n v="4"/>
    <n v="2"/>
    <n v="80"/>
    <n v="1"/>
    <n v="20"/>
    <n v="3"/>
    <n v="1"/>
    <n v="0"/>
    <n v="0"/>
    <n v="0"/>
  </r>
  <r>
    <s v="No"/>
    <s v="Travel_Rarely"/>
    <x v="1"/>
    <s v="Current Employees"/>
    <x v="1"/>
    <x v="2"/>
    <s v="STAFF-522"/>
    <x v="392"/>
    <x v="1"/>
    <x v="7"/>
    <x v="1"/>
    <s v="No"/>
    <s v="Y"/>
    <n v="4"/>
    <n v="-2"/>
    <n v="0"/>
    <x v="33"/>
    <n v="0"/>
    <m/>
    <n v="0"/>
    <n v="1"/>
    <n v="821"/>
    <n v="5"/>
    <x v="0"/>
    <n v="1"/>
    <n v="1"/>
    <n v="86"/>
    <n v="3"/>
    <n v="5"/>
    <n v="3"/>
    <n v="19406"/>
    <n v="8509"/>
    <n v="4"/>
    <n v="11"/>
    <n v="3"/>
    <n v="3"/>
    <n v="80"/>
    <n v="1"/>
    <n v="24"/>
    <n v="2"/>
    <n v="4"/>
    <n v="2"/>
    <n v="1"/>
    <n v="2"/>
  </r>
  <r>
    <s v="No"/>
    <s v="Non-Travel"/>
    <x v="2"/>
    <s v="Current Employees"/>
    <x v="0"/>
    <x v="3"/>
    <s v="STAFF-523"/>
    <x v="393"/>
    <x v="0"/>
    <x v="0"/>
    <x v="1"/>
    <s v="No"/>
    <s v="Y"/>
    <n v="3"/>
    <n v="-2"/>
    <n v="0"/>
    <x v="13"/>
    <n v="0"/>
    <m/>
    <n v="0"/>
    <n v="1"/>
    <n v="1381"/>
    <n v="4"/>
    <x v="2"/>
    <n v="1"/>
    <n v="3"/>
    <n v="72"/>
    <n v="3"/>
    <n v="2"/>
    <n v="1"/>
    <n v="6538"/>
    <n v="12740"/>
    <n v="9"/>
    <n v="15"/>
    <n v="3"/>
    <n v="1"/>
    <n v="80"/>
    <n v="1"/>
    <n v="6"/>
    <n v="3"/>
    <n v="3"/>
    <n v="2"/>
    <n v="1"/>
    <n v="2"/>
  </r>
  <r>
    <s v="No"/>
    <s v="Travel_Rarely"/>
    <x v="2"/>
    <s v="Current Employees"/>
    <x v="1"/>
    <x v="2"/>
    <s v="STAFF-524"/>
    <x v="394"/>
    <x v="0"/>
    <x v="3"/>
    <x v="1"/>
    <s v="No"/>
    <s v="Y"/>
    <n v="5"/>
    <n v="-2"/>
    <n v="0"/>
    <x v="12"/>
    <n v="0"/>
    <m/>
    <n v="0"/>
    <n v="1"/>
    <n v="480"/>
    <n v="7"/>
    <x v="0"/>
    <n v="1"/>
    <n v="2"/>
    <n v="31"/>
    <n v="3"/>
    <n v="2"/>
    <n v="3"/>
    <n v="4306"/>
    <n v="4156"/>
    <n v="1"/>
    <n v="12"/>
    <n v="3"/>
    <n v="2"/>
    <n v="80"/>
    <n v="1"/>
    <n v="13"/>
    <n v="1"/>
    <n v="13"/>
    <n v="10"/>
    <n v="3"/>
    <n v="12"/>
  </r>
  <r>
    <s v="No"/>
    <s v="Travel_Frequently"/>
    <x v="0"/>
    <s v="Current Employees"/>
    <x v="1"/>
    <x v="2"/>
    <s v="STAFF-525"/>
    <x v="395"/>
    <x v="1"/>
    <x v="2"/>
    <x v="1"/>
    <s v="No"/>
    <s v="Y"/>
    <n v="1"/>
    <n v="-2"/>
    <n v="0"/>
    <x v="23"/>
    <n v="0"/>
    <m/>
    <n v="0"/>
    <n v="1"/>
    <n v="313"/>
    <n v="21"/>
    <x v="3"/>
    <n v="1"/>
    <n v="4"/>
    <n v="61"/>
    <n v="3"/>
    <n v="1"/>
    <n v="4"/>
    <n v="2258"/>
    <n v="15238"/>
    <n v="7"/>
    <n v="20"/>
    <n v="4"/>
    <n v="1"/>
    <n v="80"/>
    <n v="1"/>
    <n v="8"/>
    <n v="3"/>
    <n v="3"/>
    <n v="2"/>
    <n v="1"/>
    <n v="2"/>
  </r>
  <r>
    <s v="No"/>
    <s v="Travel_Rarely"/>
    <x v="0"/>
    <s v="Current Employees"/>
    <x v="1"/>
    <x v="1"/>
    <s v="STAFF-526"/>
    <x v="396"/>
    <x v="0"/>
    <x v="4"/>
    <x v="2"/>
    <s v="Yes"/>
    <s v="Y"/>
    <n v="3"/>
    <n v="-2"/>
    <n v="0"/>
    <x v="23"/>
    <n v="0"/>
    <m/>
    <n v="0"/>
    <n v="1"/>
    <n v="1473"/>
    <n v="8"/>
    <x v="2"/>
    <n v="1"/>
    <n v="3"/>
    <n v="74"/>
    <n v="3"/>
    <n v="2"/>
    <n v="3"/>
    <n v="4522"/>
    <n v="2227"/>
    <n v="4"/>
    <n v="14"/>
    <n v="3"/>
    <n v="4"/>
    <n v="80"/>
    <n v="0"/>
    <n v="8"/>
    <n v="3"/>
    <n v="5"/>
    <n v="2"/>
    <n v="0"/>
    <n v="2"/>
  </r>
  <r>
    <s v="No"/>
    <s v="Travel_Rarely"/>
    <x v="2"/>
    <s v="Current Employees"/>
    <x v="0"/>
    <x v="0"/>
    <s v="STAFF-527"/>
    <x v="397"/>
    <x v="0"/>
    <x v="0"/>
    <x v="0"/>
    <s v="Yes"/>
    <s v="Y"/>
    <n v="3"/>
    <n v="-2"/>
    <n v="0"/>
    <x v="36"/>
    <n v="0"/>
    <m/>
    <n v="0"/>
    <n v="1"/>
    <n v="891"/>
    <n v="4"/>
    <x v="0"/>
    <n v="1"/>
    <n v="2"/>
    <n v="99"/>
    <n v="2"/>
    <n v="2"/>
    <n v="2"/>
    <n v="4487"/>
    <n v="12090"/>
    <n v="1"/>
    <n v="11"/>
    <n v="3"/>
    <n v="2"/>
    <n v="80"/>
    <n v="0"/>
    <n v="5"/>
    <n v="3"/>
    <n v="5"/>
    <n v="4"/>
    <n v="1"/>
    <n v="3"/>
  </r>
  <r>
    <s v="No"/>
    <s v="Non-Travel"/>
    <x v="0"/>
    <s v="Current Employees"/>
    <x v="1"/>
    <x v="2"/>
    <s v="STAFF-529"/>
    <x v="398"/>
    <x v="0"/>
    <x v="1"/>
    <x v="1"/>
    <s v="Yes"/>
    <s v="Y"/>
    <n v="2"/>
    <n v="-2"/>
    <n v="0"/>
    <x v="2"/>
    <n v="0"/>
    <m/>
    <n v="0"/>
    <n v="1"/>
    <n v="1063"/>
    <n v="25"/>
    <x v="4"/>
    <n v="1"/>
    <n v="2"/>
    <n v="72"/>
    <n v="3"/>
    <n v="2"/>
    <n v="3"/>
    <n v="4449"/>
    <n v="23866"/>
    <n v="3"/>
    <n v="15"/>
    <n v="3"/>
    <n v="1"/>
    <n v="80"/>
    <n v="2"/>
    <n v="15"/>
    <n v="3"/>
    <n v="13"/>
    <n v="11"/>
    <n v="10"/>
    <n v="7"/>
  </r>
  <r>
    <s v="No"/>
    <s v="Travel_Rarely"/>
    <x v="2"/>
    <s v="Current Employees"/>
    <x v="1"/>
    <x v="0"/>
    <s v="STAFF-530"/>
    <x v="399"/>
    <x v="1"/>
    <x v="2"/>
    <x v="1"/>
    <s v="No"/>
    <s v="Y"/>
    <n v="3"/>
    <n v="-2"/>
    <n v="0"/>
    <x v="12"/>
    <n v="0"/>
    <m/>
    <n v="0"/>
    <n v="1"/>
    <n v="329"/>
    <n v="1"/>
    <x v="0"/>
    <n v="1"/>
    <n v="4"/>
    <n v="98"/>
    <n v="2"/>
    <n v="1"/>
    <n v="2"/>
    <n v="2218"/>
    <n v="16193"/>
    <n v="1"/>
    <n v="12"/>
    <n v="3"/>
    <n v="3"/>
    <n v="80"/>
    <n v="1"/>
    <n v="4"/>
    <n v="3"/>
    <n v="4"/>
    <n v="2"/>
    <n v="3"/>
    <n v="2"/>
  </r>
  <r>
    <s v="No"/>
    <s v="Travel_Frequently"/>
    <x v="0"/>
    <s v="Current Employees"/>
    <x v="1"/>
    <x v="0"/>
    <s v="STAFF-531"/>
    <x v="400"/>
    <x v="1"/>
    <x v="5"/>
    <x v="2"/>
    <s v="Yes"/>
    <s v="Y"/>
    <n v="3"/>
    <n v="-2"/>
    <n v="0"/>
    <x v="22"/>
    <n v="0"/>
    <m/>
    <n v="0"/>
    <n v="1"/>
    <n v="1218"/>
    <n v="1"/>
    <x v="1"/>
    <n v="1"/>
    <n v="2"/>
    <n v="52"/>
    <n v="3"/>
    <n v="5"/>
    <n v="2"/>
    <n v="19197"/>
    <n v="8213"/>
    <n v="1"/>
    <n v="14"/>
    <n v="3"/>
    <n v="3"/>
    <n v="80"/>
    <n v="1"/>
    <n v="21"/>
    <n v="3"/>
    <n v="21"/>
    <n v="8"/>
    <n v="1"/>
    <n v="6"/>
  </r>
  <r>
    <s v="No"/>
    <s v="Travel_Frequently"/>
    <x v="3"/>
    <s v="Current Employees"/>
    <x v="0"/>
    <x v="0"/>
    <s v="STAFF-532"/>
    <x v="401"/>
    <x v="0"/>
    <x v="0"/>
    <x v="1"/>
    <s v="No"/>
    <s v="Y"/>
    <n v="0"/>
    <n v="-2"/>
    <n v="0"/>
    <x v="29"/>
    <n v="0"/>
    <m/>
    <n v="0"/>
    <n v="1"/>
    <n v="906"/>
    <n v="6"/>
    <x v="3"/>
    <n v="1"/>
    <n v="3"/>
    <n v="86"/>
    <n v="4"/>
    <n v="4"/>
    <n v="2"/>
    <n v="13212"/>
    <n v="18256"/>
    <n v="9"/>
    <n v="11"/>
    <n v="3"/>
    <n v="4"/>
    <n v="80"/>
    <n v="3"/>
    <n v="36"/>
    <n v="2"/>
    <n v="7"/>
    <n v="7"/>
    <n v="7"/>
    <n v="7"/>
  </r>
  <r>
    <s v="No"/>
    <s v="Travel_Rarely"/>
    <x v="2"/>
    <s v="Current Employees"/>
    <x v="0"/>
    <x v="4"/>
    <s v="STAFF-533"/>
    <x v="402"/>
    <x v="0"/>
    <x v="0"/>
    <x v="0"/>
    <s v="No"/>
    <s v="Y"/>
    <n v="6"/>
    <n v="-2"/>
    <n v="0"/>
    <x v="7"/>
    <n v="0"/>
    <m/>
    <n v="0"/>
    <n v="1"/>
    <n v="1082"/>
    <n v="12"/>
    <x v="3"/>
    <n v="1"/>
    <n v="4"/>
    <n v="83"/>
    <n v="3"/>
    <n v="2"/>
    <n v="4"/>
    <n v="6577"/>
    <n v="19558"/>
    <n v="0"/>
    <n v="11"/>
    <n v="3"/>
    <n v="2"/>
    <n v="80"/>
    <n v="0"/>
    <n v="6"/>
    <n v="3"/>
    <n v="5"/>
    <n v="4"/>
    <n v="4"/>
    <n v="4"/>
  </r>
  <r>
    <s v="No"/>
    <s v="Travel_Rarely"/>
    <x v="0"/>
    <s v="Current Employees"/>
    <x v="0"/>
    <x v="3"/>
    <s v="STAFF-534"/>
    <x v="403"/>
    <x v="1"/>
    <x v="0"/>
    <x v="1"/>
    <s v="No"/>
    <s v="Y"/>
    <n v="2"/>
    <n v="-2"/>
    <n v="0"/>
    <x v="0"/>
    <n v="0"/>
    <m/>
    <n v="0"/>
    <n v="1"/>
    <n v="645"/>
    <n v="1"/>
    <x v="3"/>
    <n v="1"/>
    <n v="2"/>
    <n v="49"/>
    <n v="4"/>
    <n v="3"/>
    <n v="1"/>
    <n v="8392"/>
    <n v="19566"/>
    <n v="1"/>
    <n v="16"/>
    <n v="3"/>
    <n v="3"/>
    <n v="80"/>
    <n v="1"/>
    <n v="10"/>
    <n v="3"/>
    <n v="10"/>
    <n v="7"/>
    <n v="0"/>
    <n v="7"/>
  </r>
  <r>
    <s v="No"/>
    <s v="Travel_Rarely"/>
    <x v="2"/>
    <s v="Current Employees"/>
    <x v="1"/>
    <x v="2"/>
    <s v="STAFF-536"/>
    <x v="404"/>
    <x v="1"/>
    <x v="2"/>
    <x v="2"/>
    <s v="No"/>
    <s v="Y"/>
    <n v="2"/>
    <n v="-2"/>
    <n v="0"/>
    <x v="14"/>
    <n v="0"/>
    <m/>
    <n v="0"/>
    <n v="1"/>
    <n v="1300"/>
    <n v="17"/>
    <x v="0"/>
    <n v="1"/>
    <n v="3"/>
    <n v="79"/>
    <n v="3"/>
    <n v="2"/>
    <n v="3"/>
    <n v="4558"/>
    <n v="13535"/>
    <n v="1"/>
    <n v="12"/>
    <n v="3"/>
    <n v="4"/>
    <n v="80"/>
    <n v="1"/>
    <n v="10"/>
    <n v="3"/>
    <n v="10"/>
    <n v="0"/>
    <n v="1"/>
    <n v="8"/>
  </r>
  <r>
    <s v="Yes"/>
    <s v="Travel_Rarely"/>
    <x v="2"/>
    <s v="Ex-Employees"/>
    <x v="1"/>
    <x v="2"/>
    <s v="STAFF-538"/>
    <x v="405"/>
    <x v="1"/>
    <x v="2"/>
    <x v="1"/>
    <s v="No"/>
    <s v="Y"/>
    <n v="5"/>
    <n v="-2"/>
    <n v="0"/>
    <x v="36"/>
    <n v="1"/>
    <n v="1"/>
    <n v="1"/>
    <n v="0"/>
    <n v="688"/>
    <n v="3"/>
    <x v="3"/>
    <n v="1"/>
    <n v="1"/>
    <n v="91"/>
    <n v="3"/>
    <n v="1"/>
    <n v="3"/>
    <n v="4031"/>
    <n v="9396"/>
    <n v="5"/>
    <n v="13"/>
    <n v="3"/>
    <n v="3"/>
    <n v="80"/>
    <n v="1"/>
    <n v="6"/>
    <n v="3"/>
    <n v="2"/>
    <n v="2"/>
    <n v="0"/>
    <n v="2"/>
  </r>
  <r>
    <s v="No"/>
    <s v="Travel_Rarely"/>
    <x v="1"/>
    <s v="Current Employees"/>
    <x v="1"/>
    <x v="2"/>
    <s v="STAFF-543"/>
    <x v="406"/>
    <x v="1"/>
    <x v="3"/>
    <x v="1"/>
    <s v="Yes"/>
    <s v="Y"/>
    <n v="4"/>
    <n v="-2"/>
    <n v="0"/>
    <x v="39"/>
    <n v="0"/>
    <m/>
    <n v="0"/>
    <n v="1"/>
    <n v="319"/>
    <n v="3"/>
    <x v="3"/>
    <n v="1"/>
    <n v="4"/>
    <n v="39"/>
    <n v="2"/>
    <n v="3"/>
    <n v="3"/>
    <n v="7969"/>
    <n v="19609"/>
    <n v="2"/>
    <n v="14"/>
    <n v="3"/>
    <n v="3"/>
    <n v="80"/>
    <n v="0"/>
    <n v="28"/>
    <n v="3"/>
    <n v="5"/>
    <n v="4"/>
    <n v="0"/>
    <n v="4"/>
  </r>
  <r>
    <s v="No"/>
    <s v="Travel_Rarely"/>
    <x v="1"/>
    <s v="Current Employees"/>
    <x v="1"/>
    <x v="0"/>
    <s v="STAFF-544"/>
    <x v="407"/>
    <x v="1"/>
    <x v="1"/>
    <x v="1"/>
    <s v="No"/>
    <s v="Y"/>
    <n v="3"/>
    <n v="-2"/>
    <n v="0"/>
    <x v="28"/>
    <n v="0"/>
    <m/>
    <n v="0"/>
    <n v="1"/>
    <n v="192"/>
    <n v="10"/>
    <x v="0"/>
    <n v="1"/>
    <n v="1"/>
    <n v="69"/>
    <n v="3"/>
    <n v="1"/>
    <n v="2"/>
    <n v="2654"/>
    <n v="9655"/>
    <n v="3"/>
    <n v="21"/>
    <n v="4"/>
    <n v="4"/>
    <n v="80"/>
    <n v="2"/>
    <n v="8"/>
    <n v="2"/>
    <n v="2"/>
    <n v="2"/>
    <n v="0"/>
    <n v="2"/>
  </r>
  <r>
    <s v="No"/>
    <s v="Travel_Rarely"/>
    <x v="1"/>
    <s v="Current Employees"/>
    <x v="1"/>
    <x v="0"/>
    <s v="STAFF-546"/>
    <x v="408"/>
    <x v="0"/>
    <x v="5"/>
    <x v="1"/>
    <s v="No"/>
    <s v="Y"/>
    <n v="2"/>
    <n v="-2"/>
    <n v="0"/>
    <x v="39"/>
    <n v="0"/>
    <m/>
    <n v="0"/>
    <n v="1"/>
    <n v="1490"/>
    <n v="4"/>
    <x v="0"/>
    <n v="1"/>
    <n v="4"/>
    <n v="30"/>
    <n v="3"/>
    <n v="4"/>
    <n v="2"/>
    <n v="16555"/>
    <n v="10310"/>
    <n v="2"/>
    <n v="13"/>
    <n v="3"/>
    <n v="4"/>
    <n v="80"/>
    <n v="0"/>
    <n v="31"/>
    <n v="1"/>
    <n v="5"/>
    <n v="2"/>
    <n v="1"/>
    <n v="4"/>
  </r>
  <r>
    <s v="No"/>
    <s v="Travel_Frequently"/>
    <x v="0"/>
    <s v="Current Employees"/>
    <x v="1"/>
    <x v="0"/>
    <s v="STAFF-547"/>
    <x v="409"/>
    <x v="0"/>
    <x v="1"/>
    <x v="2"/>
    <s v="No"/>
    <s v="Y"/>
    <n v="3"/>
    <n v="-2"/>
    <n v="0"/>
    <x v="19"/>
    <n v="0"/>
    <m/>
    <n v="0"/>
    <n v="1"/>
    <n v="532"/>
    <n v="29"/>
    <x v="0"/>
    <n v="1"/>
    <n v="1"/>
    <n v="92"/>
    <n v="3"/>
    <n v="2"/>
    <n v="2"/>
    <n v="4556"/>
    <n v="12932"/>
    <n v="2"/>
    <n v="11"/>
    <n v="3"/>
    <n v="2"/>
    <n v="80"/>
    <n v="1"/>
    <n v="19"/>
    <n v="3"/>
    <n v="5"/>
    <n v="4"/>
    <n v="0"/>
    <n v="2"/>
  </r>
  <r>
    <s v="No"/>
    <s v="Travel_Rarely"/>
    <x v="2"/>
    <s v="Current Employees"/>
    <x v="1"/>
    <x v="0"/>
    <s v="STAFF-548"/>
    <x v="410"/>
    <x v="0"/>
    <x v="3"/>
    <x v="0"/>
    <s v="No"/>
    <s v="Y"/>
    <n v="2"/>
    <n v="-2"/>
    <n v="0"/>
    <x v="7"/>
    <n v="0"/>
    <m/>
    <n v="0"/>
    <n v="1"/>
    <n v="317"/>
    <n v="2"/>
    <x v="3"/>
    <n v="1"/>
    <n v="3"/>
    <n v="43"/>
    <n v="1"/>
    <n v="2"/>
    <n v="2"/>
    <n v="6091"/>
    <n v="24793"/>
    <n v="2"/>
    <n v="20"/>
    <n v="4"/>
    <n v="3"/>
    <n v="80"/>
    <n v="0"/>
    <n v="11"/>
    <n v="3"/>
    <n v="5"/>
    <n v="4"/>
    <n v="0"/>
    <n v="2"/>
  </r>
  <r>
    <s v="No"/>
    <s v="Travel_Rarely"/>
    <x v="3"/>
    <s v="Current Employees"/>
    <x v="1"/>
    <x v="0"/>
    <s v="STAFF-549"/>
    <x v="411"/>
    <x v="0"/>
    <x v="5"/>
    <x v="1"/>
    <s v="No"/>
    <s v="Y"/>
    <n v="5"/>
    <n v="-2"/>
    <n v="0"/>
    <x v="42"/>
    <n v="0"/>
    <m/>
    <n v="0"/>
    <n v="1"/>
    <n v="422"/>
    <n v="7"/>
    <x v="3"/>
    <n v="1"/>
    <n v="1"/>
    <n v="41"/>
    <n v="3"/>
    <n v="5"/>
    <n v="2"/>
    <n v="19566"/>
    <n v="3854"/>
    <n v="5"/>
    <n v="11"/>
    <n v="3"/>
    <n v="4"/>
    <n v="80"/>
    <n v="0"/>
    <n v="33"/>
    <n v="1"/>
    <n v="29"/>
    <n v="8"/>
    <n v="11"/>
    <n v="10"/>
  </r>
  <r>
    <s v="No"/>
    <s v="Travel_Rarely"/>
    <x v="1"/>
    <s v="Current Employees"/>
    <x v="1"/>
    <x v="2"/>
    <s v="STAFF-550"/>
    <x v="412"/>
    <x v="0"/>
    <x v="3"/>
    <x v="2"/>
    <s v="No"/>
    <s v="Y"/>
    <n v="5"/>
    <n v="-2"/>
    <n v="0"/>
    <x v="21"/>
    <n v="0"/>
    <m/>
    <n v="0"/>
    <n v="1"/>
    <n v="1485"/>
    <n v="18"/>
    <x v="3"/>
    <n v="1"/>
    <n v="3"/>
    <n v="87"/>
    <n v="3"/>
    <n v="2"/>
    <n v="3"/>
    <n v="4810"/>
    <n v="26314"/>
    <n v="2"/>
    <n v="14"/>
    <n v="3"/>
    <n v="3"/>
    <n v="80"/>
    <n v="1"/>
    <n v="19"/>
    <n v="2"/>
    <n v="10"/>
    <n v="7"/>
    <n v="0"/>
    <n v="8"/>
  </r>
  <r>
    <s v="No"/>
    <s v="Travel_Frequently"/>
    <x v="0"/>
    <s v="Current Employees"/>
    <x v="1"/>
    <x v="4"/>
    <s v="STAFF-551"/>
    <x v="413"/>
    <x v="0"/>
    <x v="4"/>
    <x v="1"/>
    <s v="No"/>
    <s v="Y"/>
    <n v="4"/>
    <n v="-2"/>
    <n v="0"/>
    <x v="19"/>
    <n v="0"/>
    <m/>
    <n v="0"/>
    <n v="1"/>
    <n v="1368"/>
    <n v="28"/>
    <x v="2"/>
    <n v="1"/>
    <n v="4"/>
    <n v="88"/>
    <n v="2"/>
    <n v="2"/>
    <n v="4"/>
    <n v="4523"/>
    <n v="4386"/>
    <n v="0"/>
    <n v="11"/>
    <n v="3"/>
    <n v="4"/>
    <n v="80"/>
    <n v="3"/>
    <n v="7"/>
    <n v="4"/>
    <n v="6"/>
    <n v="5"/>
    <n v="0"/>
    <n v="4"/>
  </r>
  <r>
    <s v="Yes"/>
    <s v="Travel_Rarely"/>
    <x v="4"/>
    <s v="Ex-Employees"/>
    <x v="0"/>
    <x v="4"/>
    <s v="STAFF-554"/>
    <x v="414"/>
    <x v="0"/>
    <x v="6"/>
    <x v="0"/>
    <s v="Yes"/>
    <s v="Y"/>
    <n v="4"/>
    <n v="-2"/>
    <n v="0"/>
    <x v="17"/>
    <n v="1"/>
    <n v="1"/>
    <n v="1"/>
    <n v="0"/>
    <n v="1448"/>
    <n v="1"/>
    <x v="1"/>
    <n v="1"/>
    <n v="4"/>
    <n v="62"/>
    <n v="3"/>
    <n v="1"/>
    <n v="4"/>
    <n v="3202"/>
    <n v="21972"/>
    <n v="1"/>
    <n v="16"/>
    <n v="3"/>
    <n v="2"/>
    <n v="80"/>
    <n v="0"/>
    <n v="6"/>
    <n v="3"/>
    <n v="5"/>
    <n v="3"/>
    <n v="1"/>
    <n v="4"/>
  </r>
  <r>
    <s v="Yes"/>
    <s v="Travel_Frequently"/>
    <x v="2"/>
    <s v="Ex-Employees"/>
    <x v="0"/>
    <x v="3"/>
    <s v="STAFF-555"/>
    <x v="415"/>
    <x v="0"/>
    <x v="6"/>
    <x v="2"/>
    <s v="No"/>
    <s v="Y"/>
    <n v="3"/>
    <n v="-2"/>
    <n v="0"/>
    <x v="13"/>
    <n v="1"/>
    <n v="1"/>
    <n v="1"/>
    <n v="0"/>
    <n v="296"/>
    <n v="6"/>
    <x v="0"/>
    <n v="1"/>
    <n v="4"/>
    <n v="33"/>
    <n v="1"/>
    <n v="1"/>
    <n v="1"/>
    <n v="2351"/>
    <n v="12253"/>
    <n v="0"/>
    <n v="16"/>
    <n v="3"/>
    <n v="4"/>
    <n v="80"/>
    <n v="1"/>
    <n v="3"/>
    <n v="2"/>
    <n v="2"/>
    <n v="2"/>
    <n v="1"/>
    <n v="0"/>
  </r>
  <r>
    <s v="No"/>
    <s v="Travel_Frequently"/>
    <x v="0"/>
    <s v="Current Employees"/>
    <x v="1"/>
    <x v="0"/>
    <s v="STAFF-556"/>
    <x v="416"/>
    <x v="1"/>
    <x v="2"/>
    <x v="1"/>
    <s v="Yes"/>
    <s v="Y"/>
    <n v="3"/>
    <n v="-2"/>
    <n v="0"/>
    <x v="8"/>
    <n v="0"/>
    <m/>
    <n v="0"/>
    <n v="1"/>
    <n v="1490"/>
    <n v="2"/>
    <x v="0"/>
    <n v="1"/>
    <n v="4"/>
    <n v="42"/>
    <n v="3"/>
    <n v="1"/>
    <n v="2"/>
    <n v="1702"/>
    <n v="12106"/>
    <n v="1"/>
    <n v="23"/>
    <n v="4"/>
    <n v="3"/>
    <n v="80"/>
    <n v="1"/>
    <n v="1"/>
    <n v="3"/>
    <n v="1"/>
    <n v="0"/>
    <n v="0"/>
    <n v="0"/>
  </r>
  <r>
    <s v="No"/>
    <s v="Travel_Rarely"/>
    <x v="0"/>
    <s v="Current Employees"/>
    <x v="0"/>
    <x v="0"/>
    <s v="STAFF-558"/>
    <x v="417"/>
    <x v="0"/>
    <x v="5"/>
    <x v="1"/>
    <s v="No"/>
    <s v="Y"/>
    <n v="2"/>
    <n v="-2"/>
    <n v="0"/>
    <x v="32"/>
    <n v="0"/>
    <m/>
    <n v="0"/>
    <n v="1"/>
    <n v="1398"/>
    <n v="2"/>
    <x v="2"/>
    <n v="1"/>
    <n v="3"/>
    <n v="79"/>
    <n v="3"/>
    <n v="5"/>
    <n v="2"/>
    <n v="18041"/>
    <n v="13022"/>
    <n v="0"/>
    <n v="14"/>
    <n v="3"/>
    <n v="4"/>
    <n v="80"/>
    <n v="0"/>
    <n v="21"/>
    <n v="3"/>
    <n v="20"/>
    <n v="15"/>
    <n v="1"/>
    <n v="12"/>
  </r>
  <r>
    <s v="No"/>
    <s v="Travel_Rarely"/>
    <x v="2"/>
    <s v="Current Employees"/>
    <x v="1"/>
    <x v="0"/>
    <s v="STAFF-560"/>
    <x v="418"/>
    <x v="0"/>
    <x v="1"/>
    <x v="2"/>
    <s v="No"/>
    <s v="Y"/>
    <n v="3"/>
    <n v="-2"/>
    <n v="0"/>
    <x v="25"/>
    <n v="0"/>
    <m/>
    <n v="0"/>
    <n v="1"/>
    <n v="1349"/>
    <n v="23"/>
    <x v="3"/>
    <n v="1"/>
    <n v="1"/>
    <n v="90"/>
    <n v="3"/>
    <n v="1"/>
    <n v="2"/>
    <n v="2886"/>
    <n v="3032"/>
    <n v="1"/>
    <n v="22"/>
    <n v="4"/>
    <n v="2"/>
    <n v="80"/>
    <n v="2"/>
    <n v="3"/>
    <n v="1"/>
    <n v="3"/>
    <n v="2"/>
    <n v="0"/>
    <n v="2"/>
  </r>
  <r>
    <s v="No"/>
    <s v="Non-Travel"/>
    <x v="2"/>
    <s v="Current Employees"/>
    <x v="1"/>
    <x v="0"/>
    <s v="STAFF-562"/>
    <x v="419"/>
    <x v="1"/>
    <x v="2"/>
    <x v="1"/>
    <s v="No"/>
    <s v="Y"/>
    <n v="3"/>
    <n v="-2"/>
    <n v="0"/>
    <x v="7"/>
    <n v="0"/>
    <m/>
    <n v="0"/>
    <n v="1"/>
    <n v="1400"/>
    <n v="3"/>
    <x v="3"/>
    <n v="1"/>
    <n v="3"/>
    <n v="53"/>
    <n v="3"/>
    <n v="1"/>
    <n v="2"/>
    <n v="2097"/>
    <n v="16734"/>
    <n v="4"/>
    <n v="15"/>
    <n v="3"/>
    <n v="3"/>
    <n v="80"/>
    <n v="1"/>
    <n v="9"/>
    <n v="1"/>
    <n v="5"/>
    <n v="3"/>
    <n v="1"/>
    <n v="4"/>
  </r>
  <r>
    <s v="No"/>
    <s v="Travel_Rarely"/>
    <x v="2"/>
    <s v="Current Employees"/>
    <x v="1"/>
    <x v="2"/>
    <s v="STAFF-564"/>
    <x v="420"/>
    <x v="1"/>
    <x v="7"/>
    <x v="1"/>
    <s v="No"/>
    <s v="Y"/>
    <n v="2"/>
    <n v="-2"/>
    <n v="0"/>
    <x v="11"/>
    <n v="0"/>
    <m/>
    <n v="0"/>
    <n v="1"/>
    <n v="986"/>
    <n v="3"/>
    <x v="2"/>
    <n v="1"/>
    <n v="2"/>
    <n v="93"/>
    <n v="2"/>
    <n v="3"/>
    <n v="3"/>
    <n v="11935"/>
    <n v="21526"/>
    <n v="1"/>
    <n v="18"/>
    <n v="3"/>
    <n v="3"/>
    <n v="80"/>
    <n v="0"/>
    <n v="10"/>
    <n v="3"/>
    <n v="10"/>
    <n v="2"/>
    <n v="0"/>
    <n v="7"/>
  </r>
  <r>
    <s v="Yes"/>
    <s v="Travel_Rarely"/>
    <x v="2"/>
    <s v="Ex-Employees"/>
    <x v="1"/>
    <x v="4"/>
    <s v="STAFF-565"/>
    <x v="421"/>
    <x v="0"/>
    <x v="1"/>
    <x v="1"/>
    <s v="No"/>
    <s v="Y"/>
    <n v="2"/>
    <n v="-2"/>
    <n v="0"/>
    <x v="11"/>
    <n v="1"/>
    <n v="1"/>
    <n v="1"/>
    <n v="0"/>
    <n v="408"/>
    <n v="25"/>
    <x v="4"/>
    <n v="1"/>
    <n v="4"/>
    <n v="71"/>
    <n v="2"/>
    <n v="1"/>
    <n v="4"/>
    <n v="2546"/>
    <n v="18300"/>
    <n v="5"/>
    <n v="16"/>
    <n v="3"/>
    <n v="2"/>
    <n v="80"/>
    <n v="0"/>
    <n v="6"/>
    <n v="4"/>
    <n v="2"/>
    <n v="2"/>
    <n v="1"/>
    <n v="1"/>
  </r>
  <r>
    <s v="Yes"/>
    <s v="Travel_Rarely"/>
    <x v="4"/>
    <s v="Ex-Employees"/>
    <x v="2"/>
    <x v="4"/>
    <s v="STAFF-566"/>
    <x v="422"/>
    <x v="1"/>
    <x v="8"/>
    <x v="0"/>
    <s v="No"/>
    <s v="Y"/>
    <n v="3"/>
    <n v="-2"/>
    <n v="0"/>
    <x v="37"/>
    <n v="1"/>
    <n v="1"/>
    <n v="1"/>
    <n v="0"/>
    <n v="489"/>
    <n v="2"/>
    <x v="0"/>
    <n v="1"/>
    <n v="4"/>
    <n v="52"/>
    <n v="2"/>
    <n v="1"/>
    <n v="4"/>
    <n v="2564"/>
    <n v="18437"/>
    <n v="1"/>
    <n v="12"/>
    <n v="3"/>
    <n v="3"/>
    <n v="80"/>
    <n v="0"/>
    <n v="1"/>
    <n v="4"/>
    <n v="1"/>
    <n v="0"/>
    <n v="0"/>
    <n v="0"/>
  </r>
  <r>
    <s v="No"/>
    <s v="Non-Travel"/>
    <x v="2"/>
    <s v="Current Employees"/>
    <x v="0"/>
    <x v="1"/>
    <s v="STAFF-567"/>
    <x v="423"/>
    <x v="0"/>
    <x v="0"/>
    <x v="1"/>
    <s v="No"/>
    <s v="Y"/>
    <n v="3"/>
    <n v="-2"/>
    <n v="0"/>
    <x v="7"/>
    <n v="0"/>
    <m/>
    <n v="0"/>
    <n v="1"/>
    <n v="1398"/>
    <n v="22"/>
    <x v="2"/>
    <n v="1"/>
    <n v="3"/>
    <n v="69"/>
    <n v="3"/>
    <n v="3"/>
    <n v="3"/>
    <n v="8412"/>
    <n v="2890"/>
    <n v="0"/>
    <n v="11"/>
    <n v="3"/>
    <n v="3"/>
    <n v="80"/>
    <n v="0"/>
    <n v="10"/>
    <n v="3"/>
    <n v="9"/>
    <n v="8"/>
    <n v="7"/>
    <n v="8"/>
  </r>
  <r>
    <s v="No"/>
    <s v="Travel_Rarely"/>
    <x v="3"/>
    <s v="Current Employees"/>
    <x v="0"/>
    <x v="3"/>
    <s v="STAFF-568"/>
    <x v="424"/>
    <x v="1"/>
    <x v="5"/>
    <x v="2"/>
    <s v="No"/>
    <s v="Y"/>
    <n v="3"/>
    <n v="-2"/>
    <n v="0"/>
    <x v="38"/>
    <n v="0"/>
    <m/>
    <n v="0"/>
    <n v="1"/>
    <n v="210"/>
    <n v="29"/>
    <x v="3"/>
    <n v="1"/>
    <n v="1"/>
    <n v="56"/>
    <n v="2"/>
    <n v="4"/>
    <n v="1"/>
    <n v="14118"/>
    <n v="22102"/>
    <n v="3"/>
    <n v="12"/>
    <n v="3"/>
    <n v="3"/>
    <n v="80"/>
    <n v="1"/>
    <n v="32"/>
    <n v="2"/>
    <n v="1"/>
    <n v="0"/>
    <n v="0"/>
    <n v="0"/>
  </r>
  <r>
    <s v="No"/>
    <s v="Travel_Rarely"/>
    <x v="1"/>
    <s v="Current Employees"/>
    <x v="1"/>
    <x v="0"/>
    <s v="STAFF-569"/>
    <x v="425"/>
    <x v="1"/>
    <x v="5"/>
    <x v="1"/>
    <s v="No"/>
    <s v="Y"/>
    <n v="2"/>
    <n v="-2"/>
    <n v="0"/>
    <x v="24"/>
    <n v="0"/>
    <m/>
    <n v="0"/>
    <n v="1"/>
    <n v="1099"/>
    <n v="29"/>
    <x v="2"/>
    <n v="1"/>
    <n v="2"/>
    <n v="88"/>
    <n v="2"/>
    <n v="4"/>
    <n v="2"/>
    <n v="17046"/>
    <n v="9314"/>
    <n v="0"/>
    <n v="15"/>
    <n v="3"/>
    <n v="2"/>
    <n v="80"/>
    <n v="1"/>
    <n v="28"/>
    <n v="3"/>
    <n v="27"/>
    <n v="10"/>
    <n v="15"/>
    <n v="7"/>
  </r>
  <r>
    <s v="No"/>
    <s v="Non-Travel"/>
    <x v="2"/>
    <s v="Current Employees"/>
    <x v="1"/>
    <x v="2"/>
    <s v="STAFF-571"/>
    <x v="426"/>
    <x v="0"/>
    <x v="2"/>
    <x v="0"/>
    <s v="No"/>
    <s v="Y"/>
    <n v="2"/>
    <n v="-2"/>
    <n v="0"/>
    <x v="7"/>
    <n v="0"/>
    <m/>
    <n v="0"/>
    <n v="1"/>
    <n v="1116"/>
    <n v="2"/>
    <x v="3"/>
    <n v="1"/>
    <n v="3"/>
    <n v="49"/>
    <n v="3"/>
    <n v="1"/>
    <n v="4"/>
    <n v="2564"/>
    <n v="7181"/>
    <n v="0"/>
    <n v="14"/>
    <n v="3"/>
    <n v="3"/>
    <n v="80"/>
    <n v="0"/>
    <n v="12"/>
    <n v="2"/>
    <n v="11"/>
    <n v="7"/>
    <n v="6"/>
    <n v="7"/>
  </r>
  <r>
    <s v="No"/>
    <s v="Travel_Frequently"/>
    <x v="3"/>
    <s v="Current Employees"/>
    <x v="0"/>
    <x v="3"/>
    <s v="STAFF-573"/>
    <x v="427"/>
    <x v="0"/>
    <x v="0"/>
    <x v="1"/>
    <s v="No"/>
    <s v="Y"/>
    <n v="5"/>
    <n v="-2"/>
    <n v="0"/>
    <x v="42"/>
    <n v="0"/>
    <m/>
    <n v="0"/>
    <n v="1"/>
    <n v="1499"/>
    <n v="28"/>
    <x v="3"/>
    <n v="1"/>
    <n v="3"/>
    <n v="80"/>
    <n v="2"/>
    <n v="3"/>
    <n v="1"/>
    <n v="10266"/>
    <n v="2845"/>
    <n v="4"/>
    <n v="19"/>
    <n v="3"/>
    <n v="4"/>
    <n v="80"/>
    <n v="0"/>
    <n v="22"/>
    <n v="4"/>
    <n v="18"/>
    <n v="13"/>
    <n v="13"/>
    <n v="11"/>
  </r>
  <r>
    <s v="No"/>
    <s v="Travel_Rarely"/>
    <x v="1"/>
    <s v="Current Employees"/>
    <x v="1"/>
    <x v="2"/>
    <s v="STAFF-574"/>
    <x v="428"/>
    <x v="0"/>
    <x v="3"/>
    <x v="2"/>
    <s v="No"/>
    <s v="Y"/>
    <n v="2"/>
    <n v="-2"/>
    <n v="0"/>
    <x v="40"/>
    <n v="0"/>
    <m/>
    <n v="0"/>
    <n v="1"/>
    <n v="983"/>
    <n v="2"/>
    <x v="0"/>
    <n v="1"/>
    <n v="1"/>
    <n v="65"/>
    <n v="3"/>
    <n v="2"/>
    <n v="4"/>
    <n v="5070"/>
    <n v="7389"/>
    <n v="5"/>
    <n v="13"/>
    <n v="3"/>
    <n v="3"/>
    <n v="80"/>
    <n v="3"/>
    <n v="20"/>
    <n v="3"/>
    <n v="5"/>
    <n v="0"/>
    <n v="0"/>
    <n v="4"/>
  </r>
  <r>
    <s v="No"/>
    <s v="Travel_Rarely"/>
    <x v="1"/>
    <s v="Current Employees"/>
    <x v="1"/>
    <x v="0"/>
    <s v="STAFF-575"/>
    <x v="429"/>
    <x v="1"/>
    <x v="7"/>
    <x v="1"/>
    <s v="No"/>
    <s v="Y"/>
    <n v="2"/>
    <n v="-2"/>
    <n v="0"/>
    <x v="21"/>
    <n v="0"/>
    <m/>
    <n v="0"/>
    <n v="1"/>
    <n v="1009"/>
    <n v="2"/>
    <x v="3"/>
    <n v="1"/>
    <n v="1"/>
    <n v="51"/>
    <n v="3"/>
    <n v="4"/>
    <n v="2"/>
    <n v="17861"/>
    <n v="2288"/>
    <n v="6"/>
    <n v="13"/>
    <n v="3"/>
    <n v="3"/>
    <n v="80"/>
    <n v="0"/>
    <n v="26"/>
    <n v="1"/>
    <n v="3"/>
    <n v="2"/>
    <n v="0"/>
    <n v="1"/>
  </r>
  <r>
    <s v="No"/>
    <s v="Travel_Rarely"/>
    <x v="0"/>
    <s v="Current Employees"/>
    <x v="1"/>
    <x v="0"/>
    <s v="STAFF-577"/>
    <x v="430"/>
    <x v="1"/>
    <x v="2"/>
    <x v="0"/>
    <s v="No"/>
    <s v="Y"/>
    <n v="2"/>
    <n v="-2"/>
    <n v="0"/>
    <x v="10"/>
    <n v="0"/>
    <m/>
    <n v="0"/>
    <n v="1"/>
    <n v="144"/>
    <n v="22"/>
    <x v="3"/>
    <n v="1"/>
    <n v="4"/>
    <n v="46"/>
    <n v="1"/>
    <n v="1"/>
    <n v="2"/>
    <n v="4230"/>
    <n v="19225"/>
    <n v="0"/>
    <n v="15"/>
    <n v="3"/>
    <n v="3"/>
    <n v="80"/>
    <n v="0"/>
    <n v="6"/>
    <n v="3"/>
    <n v="5"/>
    <n v="4"/>
    <n v="4"/>
    <n v="3"/>
  </r>
  <r>
    <s v="No"/>
    <s v="Travel_Rarely"/>
    <x v="1"/>
    <s v="Current Employees"/>
    <x v="1"/>
    <x v="0"/>
    <s v="STAFF-578"/>
    <x v="431"/>
    <x v="0"/>
    <x v="2"/>
    <x v="0"/>
    <s v="No"/>
    <s v="Y"/>
    <n v="3"/>
    <n v="-2"/>
    <n v="0"/>
    <x v="33"/>
    <n v="0"/>
    <m/>
    <n v="0"/>
    <n v="1"/>
    <n v="548"/>
    <n v="8"/>
    <x v="2"/>
    <n v="1"/>
    <n v="3"/>
    <n v="42"/>
    <n v="3"/>
    <n v="2"/>
    <n v="2"/>
    <n v="3780"/>
    <n v="23428"/>
    <n v="7"/>
    <n v="11"/>
    <n v="3"/>
    <n v="3"/>
    <n v="80"/>
    <n v="0"/>
    <n v="19"/>
    <n v="3"/>
    <n v="1"/>
    <n v="0"/>
    <n v="0"/>
    <n v="0"/>
  </r>
  <r>
    <s v="No"/>
    <s v="Travel_Rarely"/>
    <x v="2"/>
    <s v="Current Employees"/>
    <x v="1"/>
    <x v="0"/>
    <s v="STAFF-579"/>
    <x v="432"/>
    <x v="1"/>
    <x v="1"/>
    <x v="2"/>
    <s v="No"/>
    <s v="Y"/>
    <n v="3"/>
    <n v="-2"/>
    <n v="0"/>
    <x v="13"/>
    <n v="0"/>
    <m/>
    <n v="0"/>
    <n v="1"/>
    <n v="1303"/>
    <n v="2"/>
    <x v="2"/>
    <n v="1"/>
    <n v="4"/>
    <n v="62"/>
    <n v="2"/>
    <n v="1"/>
    <n v="2"/>
    <n v="2768"/>
    <n v="8416"/>
    <n v="3"/>
    <n v="12"/>
    <n v="3"/>
    <n v="3"/>
    <n v="80"/>
    <n v="1"/>
    <n v="14"/>
    <n v="3"/>
    <n v="7"/>
    <n v="3"/>
    <n v="5"/>
    <n v="7"/>
  </r>
  <r>
    <s v="No"/>
    <s v="Travel_Rarely"/>
    <x v="1"/>
    <s v="Current Employees"/>
    <x v="0"/>
    <x v="3"/>
    <s v="STAFF-580"/>
    <x v="433"/>
    <x v="0"/>
    <x v="0"/>
    <x v="1"/>
    <s v="Yes"/>
    <s v="Y"/>
    <n v="3"/>
    <n v="-2"/>
    <n v="0"/>
    <x v="21"/>
    <n v="0"/>
    <m/>
    <n v="0"/>
    <n v="1"/>
    <n v="1125"/>
    <n v="10"/>
    <x v="3"/>
    <n v="1"/>
    <n v="3"/>
    <n v="94"/>
    <n v="2"/>
    <n v="3"/>
    <n v="1"/>
    <n v="9071"/>
    <n v="11563"/>
    <n v="2"/>
    <n v="19"/>
    <n v="3"/>
    <n v="3"/>
    <n v="80"/>
    <n v="1"/>
    <n v="15"/>
    <n v="3"/>
    <n v="3"/>
    <n v="2"/>
    <n v="1"/>
    <n v="2"/>
  </r>
  <r>
    <s v="No"/>
    <s v="Travel_Rarely"/>
    <x v="2"/>
    <s v="Current Employees"/>
    <x v="1"/>
    <x v="0"/>
    <s v="STAFF-581"/>
    <x v="434"/>
    <x v="1"/>
    <x v="3"/>
    <x v="2"/>
    <s v="No"/>
    <s v="Y"/>
    <n v="6"/>
    <n v="-2"/>
    <n v="0"/>
    <x v="12"/>
    <n v="0"/>
    <m/>
    <n v="0"/>
    <n v="1"/>
    <n v="1274"/>
    <n v="9"/>
    <x v="1"/>
    <n v="1"/>
    <n v="3"/>
    <n v="33"/>
    <n v="3"/>
    <n v="3"/>
    <n v="2"/>
    <n v="10648"/>
    <n v="14394"/>
    <n v="1"/>
    <n v="25"/>
    <n v="4"/>
    <n v="4"/>
    <n v="80"/>
    <n v="1"/>
    <n v="13"/>
    <n v="4"/>
    <n v="13"/>
    <n v="8"/>
    <n v="0"/>
    <n v="8"/>
  </r>
  <r>
    <s v="Yes"/>
    <s v="Travel_Rarely"/>
    <x v="2"/>
    <s v="Ex-Employees"/>
    <x v="1"/>
    <x v="2"/>
    <s v="STAFF-582"/>
    <x v="435"/>
    <x v="1"/>
    <x v="5"/>
    <x v="1"/>
    <s v="Yes"/>
    <s v="Y"/>
    <n v="2"/>
    <n v="-2"/>
    <n v="0"/>
    <x v="3"/>
    <n v="1"/>
    <n v="1"/>
    <n v="1"/>
    <n v="0"/>
    <n v="1277"/>
    <n v="15"/>
    <x v="1"/>
    <n v="1"/>
    <n v="2"/>
    <n v="56"/>
    <n v="3"/>
    <n v="3"/>
    <n v="3"/>
    <n v="13610"/>
    <n v="24619"/>
    <n v="7"/>
    <n v="12"/>
    <n v="3"/>
    <n v="4"/>
    <n v="80"/>
    <n v="0"/>
    <n v="15"/>
    <n v="4"/>
    <n v="7"/>
    <n v="6"/>
    <n v="7"/>
    <n v="7"/>
  </r>
  <r>
    <s v="Yes"/>
    <s v="Travel_Rarely"/>
    <x v="2"/>
    <s v="Ex-Employees"/>
    <x v="1"/>
    <x v="2"/>
    <s v="STAFF-584"/>
    <x v="436"/>
    <x v="1"/>
    <x v="2"/>
    <x v="2"/>
    <s v="No"/>
    <s v="Y"/>
    <n v="2"/>
    <n v="-2"/>
    <n v="0"/>
    <x v="3"/>
    <n v="1"/>
    <n v="1"/>
    <n v="1"/>
    <n v="0"/>
    <n v="587"/>
    <n v="10"/>
    <x v="1"/>
    <n v="1"/>
    <n v="1"/>
    <n v="38"/>
    <n v="1"/>
    <n v="1"/>
    <n v="4"/>
    <n v="3408"/>
    <n v="6705"/>
    <n v="7"/>
    <n v="13"/>
    <n v="3"/>
    <n v="1"/>
    <n v="80"/>
    <n v="3"/>
    <n v="8"/>
    <n v="3"/>
    <n v="4"/>
    <n v="3"/>
    <n v="1"/>
    <n v="3"/>
  </r>
  <r>
    <s v="No"/>
    <s v="Travel_Rarely"/>
    <x v="2"/>
    <s v="Current Employees"/>
    <x v="0"/>
    <x v="3"/>
    <s v="STAFF-585"/>
    <x v="437"/>
    <x v="1"/>
    <x v="6"/>
    <x v="0"/>
    <s v="No"/>
    <s v="Y"/>
    <n v="3"/>
    <n v="-2"/>
    <n v="0"/>
    <x v="7"/>
    <n v="0"/>
    <m/>
    <n v="0"/>
    <n v="1"/>
    <n v="413"/>
    <n v="7"/>
    <x v="1"/>
    <n v="1"/>
    <n v="4"/>
    <n v="57"/>
    <n v="3"/>
    <n v="1"/>
    <n v="1"/>
    <n v="2983"/>
    <n v="18398"/>
    <n v="0"/>
    <n v="14"/>
    <n v="3"/>
    <n v="1"/>
    <n v="80"/>
    <n v="0"/>
    <n v="4"/>
    <n v="3"/>
    <n v="3"/>
    <n v="2"/>
    <n v="1"/>
    <n v="2"/>
  </r>
  <r>
    <s v="No"/>
    <s v="Travel_Rarely"/>
    <x v="0"/>
    <s v="Current Employees"/>
    <x v="1"/>
    <x v="0"/>
    <s v="STAFF-586"/>
    <x v="438"/>
    <x v="1"/>
    <x v="4"/>
    <x v="1"/>
    <s v="Yes"/>
    <s v="Y"/>
    <n v="2"/>
    <n v="-2"/>
    <n v="0"/>
    <x v="10"/>
    <n v="0"/>
    <m/>
    <n v="0"/>
    <n v="1"/>
    <n v="1276"/>
    <n v="16"/>
    <x v="3"/>
    <n v="1"/>
    <n v="4"/>
    <n v="72"/>
    <n v="3"/>
    <n v="3"/>
    <n v="2"/>
    <n v="7632"/>
    <n v="14295"/>
    <n v="4"/>
    <n v="12"/>
    <n v="3"/>
    <n v="3"/>
    <n v="80"/>
    <n v="0"/>
    <n v="10"/>
    <n v="3"/>
    <n v="8"/>
    <n v="7"/>
    <n v="0"/>
    <n v="0"/>
  </r>
  <r>
    <s v="Yes"/>
    <s v="Travel_Frequently"/>
    <x v="2"/>
    <s v="Ex-Employees"/>
    <x v="1"/>
    <x v="0"/>
    <s v="STAFF-587"/>
    <x v="439"/>
    <x v="1"/>
    <x v="4"/>
    <x v="1"/>
    <s v="No"/>
    <s v="Y"/>
    <n v="2"/>
    <n v="-2"/>
    <n v="0"/>
    <x v="12"/>
    <n v="1"/>
    <n v="1"/>
    <n v="1"/>
    <n v="0"/>
    <n v="534"/>
    <n v="20"/>
    <x v="3"/>
    <n v="1"/>
    <n v="1"/>
    <n v="66"/>
    <n v="3"/>
    <n v="3"/>
    <n v="2"/>
    <n v="9824"/>
    <n v="22908"/>
    <n v="3"/>
    <n v="12"/>
    <n v="3"/>
    <n v="1"/>
    <n v="80"/>
    <n v="0"/>
    <n v="12"/>
    <n v="3"/>
    <n v="1"/>
    <n v="0"/>
    <n v="0"/>
    <n v="0"/>
  </r>
  <r>
    <s v="Yes"/>
    <s v="Travel_Frequently"/>
    <x v="2"/>
    <s v="Ex-Employees"/>
    <x v="2"/>
    <x v="5"/>
    <s v="STAFF-590"/>
    <x v="440"/>
    <x v="0"/>
    <x v="8"/>
    <x v="2"/>
    <s v="Yes"/>
    <s v="Y"/>
    <n v="2"/>
    <n v="-2"/>
    <n v="0"/>
    <x v="13"/>
    <n v="1"/>
    <n v="1"/>
    <n v="1"/>
    <n v="0"/>
    <n v="988"/>
    <n v="23"/>
    <x v="3"/>
    <n v="1"/>
    <n v="2"/>
    <n v="43"/>
    <n v="3"/>
    <n v="3"/>
    <n v="3"/>
    <n v="9950"/>
    <n v="11533"/>
    <n v="9"/>
    <n v="15"/>
    <n v="3"/>
    <n v="3"/>
    <n v="80"/>
    <n v="3"/>
    <n v="11"/>
    <n v="3"/>
    <n v="3"/>
    <n v="2"/>
    <n v="0"/>
    <n v="2"/>
  </r>
  <r>
    <s v="No"/>
    <s v="Travel_Frequently"/>
    <x v="0"/>
    <s v="Current Employees"/>
    <x v="1"/>
    <x v="1"/>
    <s v="STAFF-591"/>
    <x v="441"/>
    <x v="1"/>
    <x v="2"/>
    <x v="1"/>
    <s v="No"/>
    <s v="Y"/>
    <n v="4"/>
    <n v="-2"/>
    <n v="0"/>
    <x v="19"/>
    <n v="0"/>
    <m/>
    <n v="0"/>
    <n v="1"/>
    <n v="1474"/>
    <n v="5"/>
    <x v="0"/>
    <n v="1"/>
    <n v="2"/>
    <n v="97"/>
    <n v="3"/>
    <n v="1"/>
    <n v="3"/>
    <n v="2093"/>
    <n v="9260"/>
    <n v="4"/>
    <n v="17"/>
    <n v="3"/>
    <n v="4"/>
    <n v="80"/>
    <n v="1"/>
    <n v="8"/>
    <n v="3"/>
    <n v="2"/>
    <n v="2"/>
    <n v="2"/>
    <n v="0"/>
  </r>
  <r>
    <s v="No"/>
    <s v="Non-Travel"/>
    <x v="0"/>
    <s v="Current Employees"/>
    <x v="0"/>
    <x v="2"/>
    <s v="STAFF-592"/>
    <x v="442"/>
    <x v="1"/>
    <x v="0"/>
    <x v="0"/>
    <s v="No"/>
    <s v="Y"/>
    <n v="3"/>
    <n v="-2"/>
    <n v="0"/>
    <x v="9"/>
    <n v="0"/>
    <m/>
    <n v="0"/>
    <n v="1"/>
    <n v="635"/>
    <n v="10"/>
    <x v="2"/>
    <n v="1"/>
    <n v="2"/>
    <n v="32"/>
    <n v="3"/>
    <n v="3"/>
    <n v="4"/>
    <n v="9980"/>
    <n v="15318"/>
    <n v="1"/>
    <n v="14"/>
    <n v="3"/>
    <n v="4"/>
    <n v="80"/>
    <n v="0"/>
    <n v="10"/>
    <n v="2"/>
    <n v="10"/>
    <n v="3"/>
    <n v="9"/>
    <n v="7"/>
  </r>
  <r>
    <s v="Yes"/>
    <s v="Travel_Frequently"/>
    <x v="4"/>
    <s v="Ex-Employees"/>
    <x v="1"/>
    <x v="4"/>
    <s v="STAFF-593"/>
    <x v="443"/>
    <x v="1"/>
    <x v="2"/>
    <x v="0"/>
    <s v="No"/>
    <s v="Y"/>
    <n v="3"/>
    <n v="-2"/>
    <n v="0"/>
    <x v="15"/>
    <n v="1"/>
    <n v="1"/>
    <n v="1"/>
    <n v="0"/>
    <n v="1368"/>
    <n v="4"/>
    <x v="1"/>
    <n v="1"/>
    <n v="4"/>
    <n v="99"/>
    <n v="2"/>
    <n v="1"/>
    <n v="4"/>
    <n v="3894"/>
    <n v="9129"/>
    <n v="5"/>
    <n v="16"/>
    <n v="3"/>
    <n v="3"/>
    <n v="80"/>
    <n v="0"/>
    <n v="4"/>
    <n v="3"/>
    <n v="2"/>
    <n v="2"/>
    <n v="1"/>
    <n v="2"/>
  </r>
  <r>
    <s v="No"/>
    <s v="Travel_Rarely"/>
    <x v="1"/>
    <s v="Current Employees"/>
    <x v="0"/>
    <x v="3"/>
    <s v="STAFF-595"/>
    <x v="444"/>
    <x v="0"/>
    <x v="0"/>
    <x v="1"/>
    <s v="No"/>
    <s v="Y"/>
    <n v="2"/>
    <n v="-2"/>
    <n v="0"/>
    <x v="26"/>
    <n v="0"/>
    <m/>
    <n v="0"/>
    <n v="1"/>
    <n v="163"/>
    <n v="2"/>
    <x v="4"/>
    <n v="1"/>
    <n v="2"/>
    <n v="37"/>
    <n v="3"/>
    <n v="2"/>
    <n v="1"/>
    <n v="4051"/>
    <n v="19658"/>
    <n v="2"/>
    <n v="14"/>
    <n v="3"/>
    <n v="1"/>
    <n v="80"/>
    <n v="1"/>
    <n v="14"/>
    <n v="3"/>
    <n v="9"/>
    <n v="7"/>
    <n v="6"/>
    <n v="7"/>
  </r>
  <r>
    <s v="No"/>
    <s v="Travel_Rarely"/>
    <x v="3"/>
    <s v="Current Employees"/>
    <x v="0"/>
    <x v="0"/>
    <s v="STAFF-597"/>
    <x v="445"/>
    <x v="0"/>
    <x v="5"/>
    <x v="0"/>
    <s v="No"/>
    <s v="Y"/>
    <n v="2"/>
    <n v="-2"/>
    <n v="0"/>
    <x v="27"/>
    <n v="0"/>
    <m/>
    <n v="0"/>
    <n v="1"/>
    <n v="1117"/>
    <n v="18"/>
    <x v="4"/>
    <n v="1"/>
    <n v="1"/>
    <n v="83"/>
    <n v="3"/>
    <n v="4"/>
    <n v="2"/>
    <n v="16835"/>
    <n v="9873"/>
    <n v="3"/>
    <n v="23"/>
    <n v="4"/>
    <n v="4"/>
    <n v="80"/>
    <n v="0"/>
    <n v="37"/>
    <n v="3"/>
    <n v="10"/>
    <n v="9"/>
    <n v="7"/>
    <n v="7"/>
  </r>
  <r>
    <s v="No"/>
    <s v="Non-Travel"/>
    <x v="0"/>
    <s v="Current Employees"/>
    <x v="0"/>
    <x v="0"/>
    <s v="STAFF-599"/>
    <x v="446"/>
    <x v="1"/>
    <x v="0"/>
    <x v="0"/>
    <s v="No"/>
    <s v="Y"/>
    <n v="3"/>
    <n v="-2"/>
    <n v="0"/>
    <x v="0"/>
    <n v="0"/>
    <m/>
    <n v="0"/>
    <n v="1"/>
    <n v="267"/>
    <n v="10"/>
    <x v="0"/>
    <n v="1"/>
    <n v="4"/>
    <n v="56"/>
    <n v="3"/>
    <n v="2"/>
    <n v="2"/>
    <n v="6230"/>
    <n v="13430"/>
    <n v="7"/>
    <n v="14"/>
    <n v="3"/>
    <n v="4"/>
    <n v="80"/>
    <n v="0"/>
    <n v="16"/>
    <n v="3"/>
    <n v="14"/>
    <n v="3"/>
    <n v="1"/>
    <n v="10"/>
  </r>
  <r>
    <s v="No"/>
    <s v="Travel_Rarely"/>
    <x v="0"/>
    <s v="Current Employees"/>
    <x v="0"/>
    <x v="3"/>
    <s v="STAFF-600"/>
    <x v="447"/>
    <x v="1"/>
    <x v="0"/>
    <x v="1"/>
    <s v="No"/>
    <s v="Y"/>
    <n v="2"/>
    <n v="-2"/>
    <n v="0"/>
    <x v="10"/>
    <n v="0"/>
    <m/>
    <n v="0"/>
    <n v="1"/>
    <n v="619"/>
    <n v="1"/>
    <x v="3"/>
    <n v="1"/>
    <n v="2"/>
    <n v="85"/>
    <n v="3"/>
    <n v="2"/>
    <n v="1"/>
    <n v="4717"/>
    <n v="18659"/>
    <n v="9"/>
    <n v="11"/>
    <n v="3"/>
    <n v="3"/>
    <n v="80"/>
    <n v="0"/>
    <n v="15"/>
    <n v="3"/>
    <n v="11"/>
    <n v="9"/>
    <n v="6"/>
    <n v="9"/>
  </r>
  <r>
    <s v="No"/>
    <s v="Travel_Rarely"/>
    <x v="0"/>
    <s v="Current Employees"/>
    <x v="1"/>
    <x v="0"/>
    <s v="STAFF-601"/>
    <x v="448"/>
    <x v="0"/>
    <x v="3"/>
    <x v="0"/>
    <s v="No"/>
    <s v="Y"/>
    <n v="3"/>
    <n v="-2"/>
    <n v="0"/>
    <x v="32"/>
    <n v="0"/>
    <m/>
    <n v="0"/>
    <n v="1"/>
    <n v="302"/>
    <n v="6"/>
    <x v="3"/>
    <n v="1"/>
    <n v="2"/>
    <n v="75"/>
    <n v="3"/>
    <n v="4"/>
    <n v="2"/>
    <n v="13237"/>
    <n v="20364"/>
    <n v="7"/>
    <n v="15"/>
    <n v="3"/>
    <n v="3"/>
    <n v="80"/>
    <n v="0"/>
    <n v="22"/>
    <n v="3"/>
    <n v="20"/>
    <n v="6"/>
    <n v="5"/>
    <n v="13"/>
  </r>
  <r>
    <s v="No"/>
    <s v="Travel_Frequently"/>
    <x v="0"/>
    <s v="Current Employees"/>
    <x v="1"/>
    <x v="0"/>
    <s v="STAFF-602"/>
    <x v="449"/>
    <x v="0"/>
    <x v="2"/>
    <x v="1"/>
    <s v="No"/>
    <s v="Y"/>
    <n v="3"/>
    <n v="-2"/>
    <n v="0"/>
    <x v="22"/>
    <n v="0"/>
    <m/>
    <n v="0"/>
    <n v="1"/>
    <n v="443"/>
    <n v="8"/>
    <x v="1"/>
    <n v="1"/>
    <n v="3"/>
    <n v="48"/>
    <n v="3"/>
    <n v="1"/>
    <n v="2"/>
    <n v="3755"/>
    <n v="17872"/>
    <n v="1"/>
    <n v="11"/>
    <n v="3"/>
    <n v="1"/>
    <n v="80"/>
    <n v="1"/>
    <n v="8"/>
    <n v="3"/>
    <n v="8"/>
    <n v="3"/>
    <n v="0"/>
    <n v="7"/>
  </r>
  <r>
    <s v="No"/>
    <s v="Travel_Rarely"/>
    <x v="2"/>
    <s v="Current Employees"/>
    <x v="0"/>
    <x v="0"/>
    <s v="STAFF-604"/>
    <x v="450"/>
    <x v="1"/>
    <x v="0"/>
    <x v="0"/>
    <s v="Yes"/>
    <s v="Y"/>
    <n v="2"/>
    <n v="-2"/>
    <n v="0"/>
    <x v="12"/>
    <n v="0"/>
    <m/>
    <n v="0"/>
    <n v="1"/>
    <n v="828"/>
    <n v="2"/>
    <x v="1"/>
    <n v="1"/>
    <n v="2"/>
    <n v="77"/>
    <n v="3"/>
    <n v="2"/>
    <n v="2"/>
    <n v="6582"/>
    <n v="8346"/>
    <n v="4"/>
    <n v="13"/>
    <n v="3"/>
    <n v="3"/>
    <n v="80"/>
    <n v="0"/>
    <n v="10"/>
    <n v="4"/>
    <n v="6"/>
    <n v="5"/>
    <n v="0"/>
    <n v="5"/>
  </r>
  <r>
    <s v="No"/>
    <s v="Travel_Rarely"/>
    <x v="0"/>
    <s v="Current Employees"/>
    <x v="1"/>
    <x v="2"/>
    <s v="STAFF-605"/>
    <x v="451"/>
    <x v="1"/>
    <x v="3"/>
    <x v="1"/>
    <s v="Yes"/>
    <s v="Y"/>
    <n v="5"/>
    <n v="-2"/>
    <n v="0"/>
    <x v="19"/>
    <n v="0"/>
    <m/>
    <n v="0"/>
    <n v="1"/>
    <n v="319"/>
    <n v="24"/>
    <x v="3"/>
    <n v="1"/>
    <n v="4"/>
    <n v="56"/>
    <n v="3"/>
    <n v="3"/>
    <n v="3"/>
    <n v="7406"/>
    <n v="6950"/>
    <n v="1"/>
    <n v="21"/>
    <n v="4"/>
    <n v="4"/>
    <n v="80"/>
    <n v="1"/>
    <n v="10"/>
    <n v="2"/>
    <n v="10"/>
    <n v="9"/>
    <n v="5"/>
    <n v="8"/>
  </r>
  <r>
    <s v="No"/>
    <s v="Travel_Rarely"/>
    <x v="1"/>
    <s v="Current Employees"/>
    <x v="0"/>
    <x v="1"/>
    <s v="STAFF-606"/>
    <x v="452"/>
    <x v="1"/>
    <x v="0"/>
    <x v="1"/>
    <s v="No"/>
    <s v="Y"/>
    <n v="3"/>
    <n v="-2"/>
    <n v="0"/>
    <x v="28"/>
    <n v="0"/>
    <m/>
    <n v="0"/>
    <n v="1"/>
    <n v="561"/>
    <n v="2"/>
    <x v="3"/>
    <n v="1"/>
    <n v="4"/>
    <n v="61"/>
    <n v="3"/>
    <n v="2"/>
    <n v="3"/>
    <n v="4805"/>
    <n v="16177"/>
    <n v="0"/>
    <n v="19"/>
    <n v="3"/>
    <n v="2"/>
    <n v="80"/>
    <n v="1"/>
    <n v="9"/>
    <n v="4"/>
    <n v="8"/>
    <n v="7"/>
    <n v="3"/>
    <n v="7"/>
  </r>
  <r>
    <s v="Yes"/>
    <s v="Travel_Frequently"/>
    <x v="2"/>
    <s v="Ex-Employees"/>
    <x v="2"/>
    <x v="0"/>
    <s v="STAFF-608"/>
    <x v="453"/>
    <x v="0"/>
    <x v="8"/>
    <x v="2"/>
    <s v="Yes"/>
    <s v="Y"/>
    <n v="2"/>
    <n v="-2"/>
    <n v="0"/>
    <x v="25"/>
    <n v="1"/>
    <n v="1"/>
    <n v="1"/>
    <n v="0"/>
    <n v="426"/>
    <n v="17"/>
    <x v="2"/>
    <n v="1"/>
    <n v="2"/>
    <n v="58"/>
    <n v="3"/>
    <n v="1"/>
    <n v="2"/>
    <n v="2741"/>
    <n v="22808"/>
    <n v="0"/>
    <n v="11"/>
    <n v="3"/>
    <n v="2"/>
    <n v="80"/>
    <n v="1"/>
    <n v="8"/>
    <n v="2"/>
    <n v="7"/>
    <n v="7"/>
    <n v="1"/>
    <n v="0"/>
  </r>
  <r>
    <s v="No"/>
    <s v="Travel_Rarely"/>
    <x v="2"/>
    <s v="Current Employees"/>
    <x v="1"/>
    <x v="4"/>
    <s v="STAFF-611"/>
    <x v="454"/>
    <x v="1"/>
    <x v="3"/>
    <x v="2"/>
    <s v="No"/>
    <s v="Y"/>
    <n v="2"/>
    <n v="-2"/>
    <n v="0"/>
    <x v="11"/>
    <n v="0"/>
    <m/>
    <n v="0"/>
    <n v="1"/>
    <n v="232"/>
    <n v="19"/>
    <x v="3"/>
    <n v="1"/>
    <n v="4"/>
    <n v="34"/>
    <n v="3"/>
    <n v="2"/>
    <n v="4"/>
    <n v="4262"/>
    <n v="22645"/>
    <n v="4"/>
    <n v="12"/>
    <n v="3"/>
    <n v="2"/>
    <n v="80"/>
    <n v="2"/>
    <n v="8"/>
    <n v="4"/>
    <n v="3"/>
    <n v="2"/>
    <n v="1"/>
    <n v="2"/>
  </r>
  <r>
    <s v="No"/>
    <s v="Travel_Rarely"/>
    <x v="2"/>
    <s v="Current Employees"/>
    <x v="1"/>
    <x v="2"/>
    <s v="STAFF-612"/>
    <x v="455"/>
    <x v="0"/>
    <x v="7"/>
    <x v="2"/>
    <s v="No"/>
    <s v="Y"/>
    <n v="2"/>
    <n v="-2"/>
    <n v="0"/>
    <x v="3"/>
    <n v="0"/>
    <m/>
    <n v="0"/>
    <n v="1"/>
    <n v="922"/>
    <n v="1"/>
    <x v="4"/>
    <n v="1"/>
    <n v="1"/>
    <n v="95"/>
    <n v="4"/>
    <n v="4"/>
    <n v="3"/>
    <n v="16184"/>
    <n v="22578"/>
    <n v="4"/>
    <n v="19"/>
    <n v="3"/>
    <n v="3"/>
    <n v="80"/>
    <n v="1"/>
    <n v="10"/>
    <n v="3"/>
    <n v="6"/>
    <n v="1"/>
    <n v="0"/>
    <n v="5"/>
  </r>
  <r>
    <s v="No"/>
    <s v="Travel_Rarely"/>
    <x v="2"/>
    <s v="Current Employees"/>
    <x v="0"/>
    <x v="0"/>
    <s v="STAFF-613"/>
    <x v="456"/>
    <x v="1"/>
    <x v="5"/>
    <x v="2"/>
    <s v="No"/>
    <s v="Y"/>
    <n v="3"/>
    <n v="-2"/>
    <n v="0"/>
    <x v="12"/>
    <n v="0"/>
    <m/>
    <n v="0"/>
    <n v="1"/>
    <n v="688"/>
    <n v="7"/>
    <x v="3"/>
    <n v="1"/>
    <n v="3"/>
    <n v="44"/>
    <n v="2"/>
    <n v="3"/>
    <n v="2"/>
    <n v="11557"/>
    <n v="25291"/>
    <n v="9"/>
    <n v="21"/>
    <n v="4"/>
    <n v="3"/>
    <n v="80"/>
    <n v="1"/>
    <n v="10"/>
    <n v="2"/>
    <n v="5"/>
    <n v="4"/>
    <n v="0"/>
    <n v="1"/>
  </r>
  <r>
    <s v="Yes"/>
    <s v="Travel_Frequently"/>
    <x v="4"/>
    <s v="Ex-Employees"/>
    <x v="0"/>
    <x v="3"/>
    <s v="STAFF-614"/>
    <x v="457"/>
    <x v="1"/>
    <x v="6"/>
    <x v="0"/>
    <s v="Yes"/>
    <s v="Y"/>
    <n v="3"/>
    <n v="-2"/>
    <n v="0"/>
    <x v="41"/>
    <n v="1"/>
    <n v="1"/>
    <n v="1"/>
    <n v="0"/>
    <n v="1306"/>
    <n v="5"/>
    <x v="3"/>
    <n v="1"/>
    <n v="2"/>
    <n v="69"/>
    <n v="3"/>
    <n v="1"/>
    <n v="1"/>
    <n v="1878"/>
    <n v="8059"/>
    <n v="1"/>
    <n v="14"/>
    <n v="3"/>
    <n v="4"/>
    <n v="80"/>
    <n v="0"/>
    <n v="0"/>
    <n v="3"/>
    <n v="0"/>
    <n v="0"/>
    <n v="0"/>
    <n v="0"/>
  </r>
  <r>
    <s v="No"/>
    <s v="Non-Travel"/>
    <x v="0"/>
    <s v="Current Employees"/>
    <x v="0"/>
    <x v="1"/>
    <s v="STAFF-615"/>
    <x v="458"/>
    <x v="1"/>
    <x v="0"/>
    <x v="2"/>
    <s v="No"/>
    <s v="Y"/>
    <n v="2"/>
    <n v="-2"/>
    <n v="0"/>
    <x v="32"/>
    <n v="0"/>
    <m/>
    <n v="0"/>
    <n v="1"/>
    <n v="1094"/>
    <n v="28"/>
    <x v="3"/>
    <n v="1"/>
    <n v="3"/>
    <n v="58"/>
    <n v="1"/>
    <n v="3"/>
    <n v="3"/>
    <n v="10932"/>
    <n v="11373"/>
    <n v="3"/>
    <n v="15"/>
    <n v="3"/>
    <n v="3"/>
    <n v="80"/>
    <n v="1"/>
    <n v="20"/>
    <n v="3"/>
    <n v="1"/>
    <n v="0"/>
    <n v="0"/>
    <n v="1"/>
  </r>
  <r>
    <s v="No"/>
    <s v="Non-Travel"/>
    <x v="0"/>
    <s v="Current Employees"/>
    <x v="1"/>
    <x v="1"/>
    <s v="STAFF-616"/>
    <x v="459"/>
    <x v="0"/>
    <x v="4"/>
    <x v="0"/>
    <s v="Yes"/>
    <s v="Y"/>
    <n v="3"/>
    <n v="-2"/>
    <n v="0"/>
    <x v="0"/>
    <n v="0"/>
    <m/>
    <n v="0"/>
    <n v="1"/>
    <n v="509"/>
    <n v="2"/>
    <x v="2"/>
    <n v="1"/>
    <n v="1"/>
    <n v="62"/>
    <n v="2"/>
    <n v="2"/>
    <n v="3"/>
    <n v="6811"/>
    <n v="2112"/>
    <n v="2"/>
    <n v="17"/>
    <n v="3"/>
    <n v="1"/>
    <n v="80"/>
    <n v="0"/>
    <n v="10"/>
    <n v="3"/>
    <n v="8"/>
    <n v="7"/>
    <n v="0"/>
    <n v="7"/>
  </r>
  <r>
    <s v="No"/>
    <s v="Travel_Rarely"/>
    <x v="2"/>
    <s v="Current Employees"/>
    <x v="0"/>
    <x v="2"/>
    <s v="STAFF-618"/>
    <x v="460"/>
    <x v="1"/>
    <x v="0"/>
    <x v="2"/>
    <s v="No"/>
    <s v="Y"/>
    <n v="5"/>
    <n v="-2"/>
    <n v="0"/>
    <x v="25"/>
    <n v="0"/>
    <m/>
    <n v="0"/>
    <n v="1"/>
    <n v="775"/>
    <n v="29"/>
    <x v="0"/>
    <n v="1"/>
    <n v="1"/>
    <n v="45"/>
    <n v="3"/>
    <n v="2"/>
    <n v="3"/>
    <n v="4306"/>
    <n v="4267"/>
    <n v="5"/>
    <n v="12"/>
    <n v="3"/>
    <n v="1"/>
    <n v="80"/>
    <n v="2"/>
    <n v="8"/>
    <n v="3"/>
    <n v="0"/>
    <n v="0"/>
    <n v="0"/>
    <n v="0"/>
  </r>
  <r>
    <s v="No"/>
    <s v="Travel_Rarely"/>
    <x v="0"/>
    <s v="Current Employees"/>
    <x v="0"/>
    <x v="2"/>
    <s v="STAFF-620"/>
    <x v="461"/>
    <x v="0"/>
    <x v="0"/>
    <x v="0"/>
    <s v="No"/>
    <s v="Y"/>
    <n v="3"/>
    <n v="-2"/>
    <n v="0"/>
    <x v="10"/>
    <n v="0"/>
    <m/>
    <n v="0"/>
    <n v="1"/>
    <n v="195"/>
    <n v="1"/>
    <x v="3"/>
    <n v="1"/>
    <n v="1"/>
    <n v="80"/>
    <n v="3"/>
    <n v="2"/>
    <n v="3"/>
    <n v="4859"/>
    <n v="6698"/>
    <n v="1"/>
    <n v="16"/>
    <n v="3"/>
    <n v="4"/>
    <n v="80"/>
    <n v="0"/>
    <n v="5"/>
    <n v="3"/>
    <n v="5"/>
    <n v="4"/>
    <n v="0"/>
    <n v="3"/>
  </r>
  <r>
    <s v="No"/>
    <s v="Travel_Rarely"/>
    <x v="2"/>
    <s v="Current Employees"/>
    <x v="0"/>
    <x v="0"/>
    <s v="STAFF-621"/>
    <x v="462"/>
    <x v="1"/>
    <x v="0"/>
    <x v="0"/>
    <s v="No"/>
    <s v="Y"/>
    <n v="3"/>
    <n v="-2"/>
    <n v="0"/>
    <x v="13"/>
    <n v="0"/>
    <m/>
    <n v="0"/>
    <n v="1"/>
    <n v="258"/>
    <n v="21"/>
    <x v="2"/>
    <n v="1"/>
    <n v="4"/>
    <n v="74"/>
    <n v="4"/>
    <n v="2"/>
    <n v="2"/>
    <n v="5337"/>
    <n v="19921"/>
    <n v="1"/>
    <n v="12"/>
    <n v="3"/>
    <n v="4"/>
    <n v="80"/>
    <n v="0"/>
    <n v="10"/>
    <n v="3"/>
    <n v="10"/>
    <n v="7"/>
    <n v="5"/>
    <n v="7"/>
  </r>
  <r>
    <s v="Yes"/>
    <s v="Travel_Rarely"/>
    <x v="2"/>
    <s v="Ex-Employees"/>
    <x v="1"/>
    <x v="4"/>
    <s v="STAFF-622"/>
    <x v="463"/>
    <x v="1"/>
    <x v="2"/>
    <x v="0"/>
    <s v="Yes"/>
    <s v="Y"/>
    <n v="3"/>
    <n v="-2"/>
    <n v="0"/>
    <x v="25"/>
    <n v="1"/>
    <n v="1"/>
    <n v="1"/>
    <n v="0"/>
    <n v="471"/>
    <n v="24"/>
    <x v="3"/>
    <n v="1"/>
    <n v="4"/>
    <n v="66"/>
    <n v="1"/>
    <n v="1"/>
    <n v="4"/>
    <n v="2340"/>
    <n v="23213"/>
    <n v="1"/>
    <n v="18"/>
    <n v="3"/>
    <n v="2"/>
    <n v="80"/>
    <n v="0"/>
    <n v="1"/>
    <n v="1"/>
    <n v="1"/>
    <n v="0"/>
    <n v="0"/>
    <n v="0"/>
  </r>
  <r>
    <s v="No"/>
    <s v="Travel_Rarely"/>
    <x v="0"/>
    <s v="Current Employees"/>
    <x v="1"/>
    <x v="4"/>
    <s v="STAFF-623"/>
    <x v="464"/>
    <x v="0"/>
    <x v="3"/>
    <x v="0"/>
    <s v="No"/>
    <s v="Y"/>
    <n v="3"/>
    <n v="-2"/>
    <n v="0"/>
    <x v="2"/>
    <n v="0"/>
    <m/>
    <n v="0"/>
    <n v="1"/>
    <n v="799"/>
    <n v="1"/>
    <x v="3"/>
    <n v="1"/>
    <n v="4"/>
    <n v="59"/>
    <n v="3"/>
    <n v="3"/>
    <n v="4"/>
    <n v="7491"/>
    <n v="23848"/>
    <n v="4"/>
    <n v="17"/>
    <n v="3"/>
    <n v="4"/>
    <n v="80"/>
    <n v="0"/>
    <n v="12"/>
    <n v="4"/>
    <n v="6"/>
    <n v="5"/>
    <n v="1"/>
    <n v="2"/>
  </r>
  <r>
    <s v="No"/>
    <s v="Travel_Frequently"/>
    <x v="1"/>
    <s v="Current Employees"/>
    <x v="1"/>
    <x v="2"/>
    <s v="STAFF-624"/>
    <x v="465"/>
    <x v="0"/>
    <x v="4"/>
    <x v="1"/>
    <s v="No"/>
    <s v="Y"/>
    <n v="3"/>
    <n v="-2"/>
    <n v="0"/>
    <x v="21"/>
    <n v="0"/>
    <m/>
    <n v="0"/>
    <n v="1"/>
    <n v="1034"/>
    <n v="18"/>
    <x v="1"/>
    <n v="1"/>
    <n v="1"/>
    <n v="86"/>
    <n v="3"/>
    <n v="3"/>
    <n v="3"/>
    <n v="10527"/>
    <n v="8984"/>
    <n v="5"/>
    <n v="11"/>
    <n v="3"/>
    <n v="4"/>
    <n v="80"/>
    <n v="0"/>
    <n v="28"/>
    <n v="2"/>
    <n v="2"/>
    <n v="2"/>
    <n v="1"/>
    <n v="2"/>
  </r>
  <r>
    <s v="No"/>
    <s v="Travel_Rarely"/>
    <x v="0"/>
    <s v="Current Employees"/>
    <x v="0"/>
    <x v="0"/>
    <s v="STAFF-625"/>
    <x v="466"/>
    <x v="0"/>
    <x v="5"/>
    <x v="1"/>
    <s v="No"/>
    <s v="Y"/>
    <n v="2"/>
    <n v="-2"/>
    <n v="0"/>
    <x v="0"/>
    <n v="0"/>
    <m/>
    <n v="0"/>
    <n v="1"/>
    <n v="1276"/>
    <n v="2"/>
    <x v="4"/>
    <n v="1"/>
    <n v="2"/>
    <n v="91"/>
    <n v="3"/>
    <n v="4"/>
    <n v="2"/>
    <n v="16595"/>
    <n v="5626"/>
    <n v="7"/>
    <n v="16"/>
    <n v="3"/>
    <n v="2"/>
    <n v="80"/>
    <n v="1"/>
    <n v="22"/>
    <n v="3"/>
    <n v="18"/>
    <n v="16"/>
    <n v="11"/>
    <n v="8"/>
  </r>
  <r>
    <s v="No"/>
    <s v="Non-Travel"/>
    <x v="0"/>
    <s v="Current Employees"/>
    <x v="0"/>
    <x v="2"/>
    <s v="STAFF-626"/>
    <x v="467"/>
    <x v="1"/>
    <x v="0"/>
    <x v="2"/>
    <s v="No"/>
    <s v="Y"/>
    <n v="6"/>
    <n v="-2"/>
    <n v="0"/>
    <x v="2"/>
    <n v="0"/>
    <m/>
    <n v="0"/>
    <n v="1"/>
    <n v="142"/>
    <n v="9"/>
    <x v="2"/>
    <n v="1"/>
    <n v="1"/>
    <n v="69"/>
    <n v="3"/>
    <n v="3"/>
    <n v="3"/>
    <n v="8834"/>
    <n v="24666"/>
    <n v="1"/>
    <n v="13"/>
    <n v="3"/>
    <n v="4"/>
    <n v="80"/>
    <n v="1"/>
    <n v="9"/>
    <n v="3"/>
    <n v="9"/>
    <n v="5"/>
    <n v="7"/>
    <n v="7"/>
  </r>
  <r>
    <s v="No"/>
    <s v="Travel_Rarely"/>
    <x v="1"/>
    <s v="Current Employees"/>
    <x v="1"/>
    <x v="4"/>
    <s v="STAFF-630"/>
    <x v="468"/>
    <x v="1"/>
    <x v="1"/>
    <x v="2"/>
    <s v="Yes"/>
    <s v="Y"/>
    <n v="3"/>
    <n v="-2"/>
    <n v="0"/>
    <x v="39"/>
    <n v="0"/>
    <m/>
    <n v="0"/>
    <n v="1"/>
    <n v="956"/>
    <n v="6"/>
    <x v="0"/>
    <n v="1"/>
    <n v="4"/>
    <n v="78"/>
    <n v="3"/>
    <n v="2"/>
    <n v="4"/>
    <n v="5577"/>
    <n v="22087"/>
    <n v="3"/>
    <n v="12"/>
    <n v="3"/>
    <n v="2"/>
    <n v="80"/>
    <n v="2"/>
    <n v="18"/>
    <n v="3"/>
    <n v="10"/>
    <n v="9"/>
    <n v="6"/>
    <n v="9"/>
  </r>
  <r>
    <s v="Yes"/>
    <s v="Non-Travel"/>
    <x v="2"/>
    <s v="Ex-Employees"/>
    <x v="0"/>
    <x v="1"/>
    <s v="STAFF-631"/>
    <x v="469"/>
    <x v="1"/>
    <x v="0"/>
    <x v="1"/>
    <s v="No"/>
    <s v="Y"/>
    <n v="2"/>
    <n v="-2"/>
    <n v="0"/>
    <x v="5"/>
    <n v="1"/>
    <n v="1"/>
    <n v="1"/>
    <n v="0"/>
    <n v="1474"/>
    <n v="11"/>
    <x v="2"/>
    <n v="1"/>
    <n v="4"/>
    <n v="60"/>
    <n v="4"/>
    <n v="2"/>
    <n v="3"/>
    <n v="4707"/>
    <n v="23914"/>
    <n v="8"/>
    <n v="12"/>
    <n v="3"/>
    <n v="4"/>
    <n v="80"/>
    <n v="0"/>
    <n v="6"/>
    <n v="3"/>
    <n v="4"/>
    <n v="2"/>
    <n v="1"/>
    <n v="2"/>
  </r>
  <r>
    <s v="No"/>
    <s v="Travel_Frequently"/>
    <x v="4"/>
    <s v="Current Employees"/>
    <x v="0"/>
    <x v="2"/>
    <s v="STAFF-632"/>
    <x v="470"/>
    <x v="1"/>
    <x v="6"/>
    <x v="1"/>
    <s v="No"/>
    <s v="Y"/>
    <n v="3"/>
    <n v="-2"/>
    <n v="0"/>
    <x v="17"/>
    <n v="0"/>
    <m/>
    <n v="0"/>
    <n v="1"/>
    <n v="535"/>
    <n v="24"/>
    <x v="3"/>
    <n v="1"/>
    <n v="4"/>
    <n v="38"/>
    <n v="3"/>
    <n v="1"/>
    <n v="4"/>
    <n v="2400"/>
    <n v="5530"/>
    <n v="0"/>
    <n v="13"/>
    <n v="3"/>
    <n v="3"/>
    <n v="80"/>
    <n v="2"/>
    <n v="3"/>
    <n v="3"/>
    <n v="2"/>
    <n v="2"/>
    <n v="2"/>
    <n v="1"/>
  </r>
  <r>
    <s v="No"/>
    <s v="Travel_Rarely"/>
    <x v="0"/>
    <s v="Current Employees"/>
    <x v="1"/>
    <x v="2"/>
    <s v="STAFF-634"/>
    <x v="471"/>
    <x v="0"/>
    <x v="4"/>
    <x v="1"/>
    <s v="No"/>
    <s v="Y"/>
    <n v="4"/>
    <n v="-2"/>
    <n v="0"/>
    <x v="8"/>
    <n v="0"/>
    <m/>
    <n v="0"/>
    <n v="1"/>
    <n v="1495"/>
    <n v="10"/>
    <x v="3"/>
    <n v="1"/>
    <n v="3"/>
    <n v="76"/>
    <n v="3"/>
    <n v="2"/>
    <n v="3"/>
    <n v="9824"/>
    <n v="22174"/>
    <n v="3"/>
    <n v="19"/>
    <n v="3"/>
    <n v="3"/>
    <n v="80"/>
    <n v="1"/>
    <n v="18"/>
    <n v="3"/>
    <n v="1"/>
    <n v="0"/>
    <n v="0"/>
    <n v="0"/>
  </r>
  <r>
    <s v="No"/>
    <s v="Travel_Rarely"/>
    <x v="0"/>
    <s v="Current Employees"/>
    <x v="1"/>
    <x v="0"/>
    <s v="STAFF-635"/>
    <x v="472"/>
    <x v="0"/>
    <x v="3"/>
    <x v="1"/>
    <s v="No"/>
    <s v="Y"/>
    <n v="2"/>
    <n v="-2"/>
    <n v="0"/>
    <x v="2"/>
    <n v="0"/>
    <m/>
    <n v="0"/>
    <n v="1"/>
    <n v="446"/>
    <n v="1"/>
    <x v="2"/>
    <n v="1"/>
    <n v="2"/>
    <n v="65"/>
    <n v="3"/>
    <n v="2"/>
    <n v="2"/>
    <n v="6447"/>
    <n v="15701"/>
    <n v="6"/>
    <n v="12"/>
    <n v="3"/>
    <n v="2"/>
    <n v="80"/>
    <n v="1"/>
    <n v="8"/>
    <n v="2"/>
    <n v="6"/>
    <n v="5"/>
    <n v="4"/>
    <n v="3"/>
  </r>
  <r>
    <s v="No"/>
    <s v="Travel_Rarely"/>
    <x v="1"/>
    <s v="Current Employees"/>
    <x v="1"/>
    <x v="0"/>
    <s v="STAFF-638"/>
    <x v="473"/>
    <x v="1"/>
    <x v="7"/>
    <x v="2"/>
    <s v="Yes"/>
    <s v="Y"/>
    <n v="5"/>
    <n v="-2"/>
    <n v="0"/>
    <x v="1"/>
    <n v="0"/>
    <m/>
    <n v="0"/>
    <n v="1"/>
    <n v="1245"/>
    <n v="18"/>
    <x v="2"/>
    <n v="1"/>
    <n v="4"/>
    <n v="58"/>
    <n v="2"/>
    <n v="5"/>
    <n v="2"/>
    <n v="19502"/>
    <n v="2125"/>
    <n v="1"/>
    <n v="17"/>
    <n v="3"/>
    <n v="3"/>
    <n v="80"/>
    <n v="1"/>
    <n v="31"/>
    <n v="3"/>
    <n v="31"/>
    <n v="9"/>
    <n v="0"/>
    <n v="9"/>
  </r>
  <r>
    <s v="No"/>
    <s v="Travel_Rarely"/>
    <x v="4"/>
    <s v="Current Employees"/>
    <x v="1"/>
    <x v="2"/>
    <s v="STAFF-639"/>
    <x v="474"/>
    <x v="1"/>
    <x v="1"/>
    <x v="1"/>
    <s v="Yes"/>
    <s v="Y"/>
    <n v="3"/>
    <n v="-2"/>
    <n v="0"/>
    <x v="17"/>
    <n v="0"/>
    <m/>
    <n v="0"/>
    <n v="1"/>
    <n v="691"/>
    <n v="23"/>
    <x v="3"/>
    <n v="1"/>
    <n v="2"/>
    <n v="89"/>
    <n v="4"/>
    <n v="1"/>
    <n v="4"/>
    <n v="2725"/>
    <n v="21630"/>
    <n v="1"/>
    <n v="11"/>
    <n v="3"/>
    <n v="2"/>
    <n v="80"/>
    <n v="2"/>
    <n v="6"/>
    <n v="3"/>
    <n v="6"/>
    <n v="5"/>
    <n v="1"/>
    <n v="4"/>
  </r>
  <r>
    <s v="No"/>
    <s v="Travel_Rarely"/>
    <x v="2"/>
    <s v="Current Employees"/>
    <x v="0"/>
    <x v="3"/>
    <s v="STAFF-641"/>
    <x v="475"/>
    <x v="1"/>
    <x v="0"/>
    <x v="1"/>
    <s v="No"/>
    <s v="Y"/>
    <n v="5"/>
    <n v="-2"/>
    <n v="0"/>
    <x v="25"/>
    <n v="0"/>
    <m/>
    <n v="0"/>
    <n v="1"/>
    <n v="703"/>
    <n v="28"/>
    <x v="0"/>
    <n v="1"/>
    <n v="1"/>
    <n v="66"/>
    <n v="3"/>
    <n v="2"/>
    <n v="1"/>
    <n v="6272"/>
    <n v="7428"/>
    <n v="1"/>
    <n v="20"/>
    <n v="4"/>
    <n v="4"/>
    <n v="80"/>
    <n v="2"/>
    <n v="6"/>
    <n v="4"/>
    <n v="5"/>
    <n v="3"/>
    <n v="1"/>
    <n v="4"/>
  </r>
  <r>
    <s v="No"/>
    <s v="Travel_Rarely"/>
    <x v="4"/>
    <s v="Current Employees"/>
    <x v="1"/>
    <x v="1"/>
    <s v="STAFF-643"/>
    <x v="476"/>
    <x v="1"/>
    <x v="2"/>
    <x v="1"/>
    <s v="No"/>
    <s v="Y"/>
    <n v="2"/>
    <n v="-2"/>
    <n v="0"/>
    <x v="17"/>
    <n v="0"/>
    <m/>
    <n v="0"/>
    <n v="1"/>
    <n v="823"/>
    <n v="17"/>
    <x v="0"/>
    <n v="1"/>
    <n v="4"/>
    <n v="94"/>
    <n v="2"/>
    <n v="1"/>
    <n v="3"/>
    <n v="2127"/>
    <n v="9100"/>
    <n v="1"/>
    <n v="21"/>
    <n v="4"/>
    <n v="4"/>
    <n v="80"/>
    <n v="1"/>
    <n v="1"/>
    <n v="3"/>
    <n v="1"/>
    <n v="0"/>
    <n v="0"/>
    <n v="0"/>
  </r>
  <r>
    <s v="No"/>
    <s v="Travel_Frequently"/>
    <x v="1"/>
    <s v="Current Employees"/>
    <x v="2"/>
    <x v="2"/>
    <s v="STAFF-644"/>
    <x v="477"/>
    <x v="1"/>
    <x v="5"/>
    <x v="1"/>
    <s v="No"/>
    <s v="Y"/>
    <n v="2"/>
    <n v="-2"/>
    <n v="0"/>
    <x v="24"/>
    <n v="0"/>
    <m/>
    <n v="0"/>
    <n v="1"/>
    <n v="1246"/>
    <n v="3"/>
    <x v="3"/>
    <n v="1"/>
    <n v="1"/>
    <n v="99"/>
    <n v="3"/>
    <n v="5"/>
    <n v="3"/>
    <n v="18200"/>
    <n v="7999"/>
    <n v="1"/>
    <n v="11"/>
    <n v="3"/>
    <n v="3"/>
    <n v="80"/>
    <n v="1"/>
    <n v="32"/>
    <n v="3"/>
    <n v="32"/>
    <n v="5"/>
    <n v="10"/>
    <n v="7"/>
  </r>
  <r>
    <s v="No"/>
    <s v="Travel_Rarely"/>
    <x v="2"/>
    <s v="Current Employees"/>
    <x v="0"/>
    <x v="2"/>
    <s v="STAFF-645"/>
    <x v="478"/>
    <x v="1"/>
    <x v="6"/>
    <x v="1"/>
    <s v="No"/>
    <s v="Y"/>
    <n v="1"/>
    <n v="-2"/>
    <n v="0"/>
    <x v="36"/>
    <n v="0"/>
    <m/>
    <n v="0"/>
    <n v="1"/>
    <n v="622"/>
    <n v="13"/>
    <x v="1"/>
    <n v="1"/>
    <n v="2"/>
    <n v="40"/>
    <n v="3"/>
    <n v="1"/>
    <n v="3"/>
    <n v="2096"/>
    <n v="26376"/>
    <n v="1"/>
    <n v="11"/>
    <n v="3"/>
    <n v="3"/>
    <n v="80"/>
    <n v="0"/>
    <n v="7"/>
    <n v="3"/>
    <n v="7"/>
    <n v="4"/>
    <n v="0"/>
    <n v="6"/>
  </r>
  <r>
    <s v="Yes"/>
    <s v="Travel_Frequently"/>
    <x v="4"/>
    <s v="Ex-Employees"/>
    <x v="1"/>
    <x v="0"/>
    <s v="STAFF-647"/>
    <x v="479"/>
    <x v="0"/>
    <x v="2"/>
    <x v="1"/>
    <s v="Yes"/>
    <s v="Y"/>
    <n v="4"/>
    <n v="-2"/>
    <n v="0"/>
    <x v="17"/>
    <n v="1"/>
    <n v="1"/>
    <n v="1"/>
    <n v="0"/>
    <n v="1287"/>
    <n v="7"/>
    <x v="3"/>
    <n v="1"/>
    <n v="1"/>
    <n v="55"/>
    <n v="3"/>
    <n v="1"/>
    <n v="2"/>
    <n v="2886"/>
    <n v="14168"/>
    <n v="1"/>
    <n v="16"/>
    <n v="3"/>
    <n v="4"/>
    <n v="80"/>
    <n v="1"/>
    <n v="6"/>
    <n v="3"/>
    <n v="6"/>
    <n v="3"/>
    <n v="1"/>
    <n v="2"/>
  </r>
  <r>
    <s v="Yes"/>
    <s v="Travel_Frequently"/>
    <x v="2"/>
    <s v="Ex-Employees"/>
    <x v="0"/>
    <x v="0"/>
    <s v="STAFF-648"/>
    <x v="480"/>
    <x v="1"/>
    <x v="6"/>
    <x v="1"/>
    <s v="No"/>
    <s v="Y"/>
    <n v="2"/>
    <n v="-2"/>
    <n v="0"/>
    <x v="7"/>
    <n v="1"/>
    <n v="1"/>
    <n v="1"/>
    <n v="0"/>
    <n v="448"/>
    <n v="12"/>
    <x v="2"/>
    <n v="1"/>
    <n v="2"/>
    <n v="74"/>
    <n v="2"/>
    <n v="1"/>
    <n v="2"/>
    <n v="2033"/>
    <n v="14470"/>
    <n v="1"/>
    <n v="18"/>
    <n v="3"/>
    <n v="3"/>
    <n v="80"/>
    <n v="1"/>
    <n v="1"/>
    <n v="4"/>
    <n v="1"/>
    <n v="0"/>
    <n v="0"/>
    <n v="0"/>
  </r>
  <r>
    <s v="No"/>
    <s v="Travel_Rarely"/>
    <x v="2"/>
    <s v="Current Employees"/>
    <x v="1"/>
    <x v="0"/>
    <s v="STAFF-649"/>
    <x v="481"/>
    <x v="1"/>
    <x v="1"/>
    <x v="1"/>
    <s v="Yes"/>
    <s v="Y"/>
    <n v="3"/>
    <n v="-2"/>
    <n v="0"/>
    <x v="13"/>
    <n v="0"/>
    <m/>
    <n v="0"/>
    <n v="1"/>
    <n v="254"/>
    <n v="1"/>
    <x v="0"/>
    <n v="1"/>
    <n v="2"/>
    <n v="83"/>
    <n v="2"/>
    <n v="1"/>
    <n v="2"/>
    <n v="3622"/>
    <n v="22794"/>
    <n v="1"/>
    <n v="13"/>
    <n v="3"/>
    <n v="4"/>
    <n v="80"/>
    <n v="1"/>
    <n v="6"/>
    <n v="3"/>
    <n v="6"/>
    <n v="5"/>
    <n v="1"/>
    <n v="3"/>
  </r>
  <r>
    <s v="Yes"/>
    <s v="Travel_Rarely"/>
    <x v="2"/>
    <s v="Ex-Employees"/>
    <x v="0"/>
    <x v="2"/>
    <s v="STAFF-650"/>
    <x v="482"/>
    <x v="1"/>
    <x v="0"/>
    <x v="2"/>
    <s v="No"/>
    <s v="Y"/>
    <n v="2"/>
    <n v="-2"/>
    <n v="0"/>
    <x v="12"/>
    <n v="1"/>
    <n v="1"/>
    <n v="1"/>
    <n v="0"/>
    <n v="1365"/>
    <n v="13"/>
    <x v="2"/>
    <n v="1"/>
    <n v="2"/>
    <n v="46"/>
    <n v="3"/>
    <n v="2"/>
    <n v="3"/>
    <n v="4233"/>
    <n v="11512"/>
    <n v="2"/>
    <n v="17"/>
    <n v="3"/>
    <n v="3"/>
    <n v="80"/>
    <n v="0"/>
    <n v="9"/>
    <n v="1"/>
    <n v="3"/>
    <n v="1"/>
    <n v="1"/>
    <n v="2"/>
  </r>
  <r>
    <s v="No"/>
    <s v="Travel_Rarely"/>
    <x v="0"/>
    <s v="Current Employees"/>
    <x v="1"/>
    <x v="1"/>
    <s v="STAFF-652"/>
    <x v="483"/>
    <x v="1"/>
    <x v="2"/>
    <x v="0"/>
    <s v="No"/>
    <s v="Y"/>
    <n v="3"/>
    <n v="-2"/>
    <n v="0"/>
    <x v="10"/>
    <n v="0"/>
    <m/>
    <n v="0"/>
    <n v="1"/>
    <n v="538"/>
    <n v="25"/>
    <x v="0"/>
    <n v="1"/>
    <n v="1"/>
    <n v="54"/>
    <n v="2"/>
    <n v="2"/>
    <n v="4"/>
    <n v="3681"/>
    <n v="14004"/>
    <n v="4"/>
    <n v="14"/>
    <n v="3"/>
    <n v="4"/>
    <n v="80"/>
    <n v="0"/>
    <n v="9"/>
    <n v="3"/>
    <n v="3"/>
    <n v="2"/>
    <n v="0"/>
    <n v="2"/>
  </r>
  <r>
    <s v="No"/>
    <s v="Travel_Rarely"/>
    <x v="2"/>
    <s v="Current Employees"/>
    <x v="0"/>
    <x v="2"/>
    <s v="STAFF-653"/>
    <x v="484"/>
    <x v="1"/>
    <x v="0"/>
    <x v="2"/>
    <s v="No"/>
    <s v="Y"/>
    <n v="4"/>
    <n v="-2"/>
    <n v="0"/>
    <x v="12"/>
    <n v="0"/>
    <m/>
    <n v="0"/>
    <n v="1"/>
    <n v="525"/>
    <n v="6"/>
    <x v="2"/>
    <n v="1"/>
    <n v="1"/>
    <n v="66"/>
    <n v="4"/>
    <n v="2"/>
    <n v="4"/>
    <n v="5460"/>
    <n v="6219"/>
    <n v="4"/>
    <n v="22"/>
    <n v="4"/>
    <n v="4"/>
    <n v="80"/>
    <n v="2"/>
    <n v="13"/>
    <n v="4"/>
    <n v="7"/>
    <n v="7"/>
    <n v="5"/>
    <n v="7"/>
  </r>
  <r>
    <s v="No"/>
    <s v="Travel_Rarely"/>
    <x v="2"/>
    <s v="Current Employees"/>
    <x v="1"/>
    <x v="2"/>
    <s v="STAFF-655"/>
    <x v="485"/>
    <x v="0"/>
    <x v="1"/>
    <x v="2"/>
    <s v="No"/>
    <s v="Y"/>
    <n v="5"/>
    <n v="-2"/>
    <n v="0"/>
    <x v="4"/>
    <n v="0"/>
    <m/>
    <n v="0"/>
    <n v="1"/>
    <n v="798"/>
    <n v="6"/>
    <x v="2"/>
    <n v="1"/>
    <n v="1"/>
    <n v="66"/>
    <n v="2"/>
    <n v="1"/>
    <n v="3"/>
    <n v="2187"/>
    <n v="5013"/>
    <n v="0"/>
    <n v="12"/>
    <n v="3"/>
    <n v="3"/>
    <n v="80"/>
    <n v="2"/>
    <n v="6"/>
    <n v="2"/>
    <n v="5"/>
    <n v="3"/>
    <n v="0"/>
    <n v="3"/>
  </r>
  <r>
    <s v="No"/>
    <s v="Travel_Rarely"/>
    <x v="0"/>
    <s v="Current Employees"/>
    <x v="0"/>
    <x v="3"/>
    <s v="STAFF-656"/>
    <x v="486"/>
    <x v="1"/>
    <x v="0"/>
    <x v="1"/>
    <s v="Yes"/>
    <s v="Y"/>
    <n v="3"/>
    <n v="-2"/>
    <n v="0"/>
    <x v="2"/>
    <n v="0"/>
    <m/>
    <n v="0"/>
    <n v="1"/>
    <n v="558"/>
    <n v="2"/>
    <x v="3"/>
    <n v="1"/>
    <n v="4"/>
    <n v="75"/>
    <n v="3"/>
    <n v="2"/>
    <n v="1"/>
    <n v="9602"/>
    <n v="3010"/>
    <n v="4"/>
    <n v="11"/>
    <n v="3"/>
    <n v="3"/>
    <n v="80"/>
    <n v="1"/>
    <n v="17"/>
    <n v="2"/>
    <n v="3"/>
    <n v="0"/>
    <n v="1"/>
    <n v="0"/>
  </r>
  <r>
    <s v="No"/>
    <s v="Travel_Rarely"/>
    <x v="4"/>
    <s v="Current Employees"/>
    <x v="1"/>
    <x v="0"/>
    <s v="STAFF-657"/>
    <x v="487"/>
    <x v="0"/>
    <x v="1"/>
    <x v="0"/>
    <s v="No"/>
    <s v="Y"/>
    <n v="0"/>
    <n v="-2"/>
    <n v="0"/>
    <x v="35"/>
    <n v="0"/>
    <m/>
    <n v="0"/>
    <n v="1"/>
    <n v="959"/>
    <n v="1"/>
    <x v="3"/>
    <n v="1"/>
    <n v="4"/>
    <n v="83"/>
    <n v="2"/>
    <n v="1"/>
    <n v="2"/>
    <n v="2836"/>
    <n v="11757"/>
    <n v="1"/>
    <n v="13"/>
    <n v="3"/>
    <n v="4"/>
    <n v="80"/>
    <n v="0"/>
    <n v="1"/>
    <n v="4"/>
    <n v="1"/>
    <n v="0"/>
    <n v="0"/>
    <n v="0"/>
  </r>
  <r>
    <s v="No"/>
    <s v="Travel_Rarely"/>
    <x v="0"/>
    <s v="Current Employees"/>
    <x v="1"/>
    <x v="0"/>
    <s v="STAFF-659"/>
    <x v="488"/>
    <x v="0"/>
    <x v="4"/>
    <x v="1"/>
    <s v="No"/>
    <s v="Y"/>
    <n v="4"/>
    <n v="-2"/>
    <n v="0"/>
    <x v="19"/>
    <n v="0"/>
    <m/>
    <n v="0"/>
    <n v="1"/>
    <n v="622"/>
    <n v="2"/>
    <x v="2"/>
    <n v="1"/>
    <n v="3"/>
    <n v="81"/>
    <n v="3"/>
    <n v="2"/>
    <n v="2"/>
    <n v="4089"/>
    <n v="5718"/>
    <n v="1"/>
    <n v="13"/>
    <n v="3"/>
    <n v="2"/>
    <n v="80"/>
    <n v="2"/>
    <n v="10"/>
    <n v="3"/>
    <n v="10"/>
    <n v="2"/>
    <n v="2"/>
    <n v="2"/>
  </r>
  <r>
    <s v="No"/>
    <s v="Travel_Rarely"/>
    <x v="0"/>
    <s v="Current Employees"/>
    <x v="1"/>
    <x v="1"/>
    <s v="STAFF-661"/>
    <x v="489"/>
    <x v="1"/>
    <x v="7"/>
    <x v="2"/>
    <s v="Yes"/>
    <s v="Y"/>
    <n v="3"/>
    <n v="-2"/>
    <n v="0"/>
    <x v="23"/>
    <n v="0"/>
    <m/>
    <n v="0"/>
    <n v="1"/>
    <n v="782"/>
    <n v="6"/>
    <x v="2"/>
    <n v="1"/>
    <n v="2"/>
    <n v="50"/>
    <n v="2"/>
    <n v="4"/>
    <n v="4"/>
    <n v="16627"/>
    <n v="2671"/>
    <n v="4"/>
    <n v="14"/>
    <n v="3"/>
    <n v="3"/>
    <n v="80"/>
    <n v="1"/>
    <n v="21"/>
    <n v="2"/>
    <n v="1"/>
    <n v="0"/>
    <n v="0"/>
    <n v="0"/>
  </r>
  <r>
    <s v="No"/>
    <s v="Travel_Rarely"/>
    <x v="0"/>
    <s v="Current Employees"/>
    <x v="1"/>
    <x v="0"/>
    <s v="STAFF-662"/>
    <x v="490"/>
    <x v="0"/>
    <x v="1"/>
    <x v="0"/>
    <s v="No"/>
    <s v="Y"/>
    <n v="3"/>
    <n v="-2"/>
    <n v="0"/>
    <x v="8"/>
    <n v="0"/>
    <m/>
    <n v="0"/>
    <n v="1"/>
    <n v="362"/>
    <n v="1"/>
    <x v="1"/>
    <n v="1"/>
    <n v="3"/>
    <n v="43"/>
    <n v="3"/>
    <n v="1"/>
    <n v="2"/>
    <n v="2619"/>
    <n v="14561"/>
    <n v="3"/>
    <n v="17"/>
    <n v="3"/>
    <n v="4"/>
    <n v="80"/>
    <n v="0"/>
    <n v="8"/>
    <n v="2"/>
    <n v="0"/>
    <n v="0"/>
    <n v="0"/>
    <n v="0"/>
  </r>
  <r>
    <s v="No"/>
    <s v="Travel_Frequently"/>
    <x v="0"/>
    <s v="Current Employees"/>
    <x v="1"/>
    <x v="2"/>
    <s v="STAFF-663"/>
    <x v="491"/>
    <x v="1"/>
    <x v="2"/>
    <x v="2"/>
    <s v="Yes"/>
    <s v="Y"/>
    <n v="3"/>
    <n v="-2"/>
    <n v="0"/>
    <x v="23"/>
    <n v="0"/>
    <m/>
    <n v="0"/>
    <n v="1"/>
    <n v="1001"/>
    <n v="9"/>
    <x v="4"/>
    <n v="1"/>
    <n v="4"/>
    <n v="72"/>
    <n v="3"/>
    <n v="2"/>
    <n v="3"/>
    <n v="5679"/>
    <n v="19627"/>
    <n v="3"/>
    <n v="13"/>
    <n v="3"/>
    <n v="2"/>
    <n v="80"/>
    <n v="1"/>
    <n v="10"/>
    <n v="3"/>
    <n v="8"/>
    <n v="7"/>
    <n v="4"/>
    <n v="7"/>
  </r>
  <r>
    <s v="No"/>
    <s v="Travel_Rarely"/>
    <x v="1"/>
    <s v="Current Employees"/>
    <x v="1"/>
    <x v="0"/>
    <s v="STAFF-664"/>
    <x v="492"/>
    <x v="0"/>
    <x v="5"/>
    <x v="1"/>
    <s v="No"/>
    <s v="Y"/>
    <n v="3"/>
    <n v="-2"/>
    <n v="0"/>
    <x v="26"/>
    <n v="0"/>
    <m/>
    <n v="0"/>
    <n v="1"/>
    <n v="1236"/>
    <n v="1"/>
    <x v="2"/>
    <n v="1"/>
    <n v="4"/>
    <n v="40"/>
    <n v="2"/>
    <n v="4"/>
    <n v="2"/>
    <n v="15402"/>
    <n v="17997"/>
    <n v="7"/>
    <n v="11"/>
    <n v="3"/>
    <n v="1"/>
    <n v="80"/>
    <n v="1"/>
    <n v="21"/>
    <n v="1"/>
    <n v="3"/>
    <n v="2"/>
    <n v="0"/>
    <n v="2"/>
  </r>
  <r>
    <s v="No"/>
    <s v="Travel_Rarely"/>
    <x v="0"/>
    <s v="Current Employees"/>
    <x v="2"/>
    <x v="0"/>
    <s v="STAFF-665"/>
    <x v="493"/>
    <x v="0"/>
    <x v="8"/>
    <x v="0"/>
    <s v="No"/>
    <s v="Y"/>
    <n v="1"/>
    <n v="-2"/>
    <n v="0"/>
    <x v="20"/>
    <n v="0"/>
    <m/>
    <n v="0"/>
    <n v="1"/>
    <n v="1112"/>
    <n v="1"/>
    <x v="2"/>
    <n v="1"/>
    <n v="1"/>
    <n v="50"/>
    <n v="2"/>
    <n v="2"/>
    <n v="2"/>
    <n v="5985"/>
    <n v="26894"/>
    <n v="4"/>
    <n v="11"/>
    <n v="3"/>
    <n v="2"/>
    <n v="80"/>
    <n v="0"/>
    <n v="10"/>
    <n v="4"/>
    <n v="2"/>
    <n v="2"/>
    <n v="0"/>
    <n v="2"/>
  </r>
  <r>
    <s v="No"/>
    <s v="Travel_Rarely"/>
    <x v="2"/>
    <s v="Current Employees"/>
    <x v="0"/>
    <x v="4"/>
    <s v="STAFF-666"/>
    <x v="494"/>
    <x v="0"/>
    <x v="6"/>
    <x v="2"/>
    <s v="Yes"/>
    <s v="Y"/>
    <n v="3"/>
    <n v="-2"/>
    <n v="0"/>
    <x v="13"/>
    <n v="0"/>
    <m/>
    <n v="0"/>
    <n v="1"/>
    <n v="204"/>
    <n v="14"/>
    <x v="3"/>
    <n v="1"/>
    <n v="4"/>
    <n v="31"/>
    <n v="3"/>
    <n v="1"/>
    <n v="4"/>
    <n v="2579"/>
    <n v="2912"/>
    <n v="1"/>
    <n v="18"/>
    <n v="3"/>
    <n v="4"/>
    <n v="80"/>
    <n v="2"/>
    <n v="8"/>
    <n v="3"/>
    <n v="8"/>
    <n v="2"/>
    <n v="0"/>
    <n v="6"/>
  </r>
  <r>
    <s v="Yes"/>
    <s v="Travel_Rarely"/>
    <x v="2"/>
    <s v="Ex-Employees"/>
    <x v="0"/>
    <x v="3"/>
    <s v="STAFF-667"/>
    <x v="495"/>
    <x v="1"/>
    <x v="6"/>
    <x v="2"/>
    <s v="No"/>
    <s v="Y"/>
    <n v="3"/>
    <n v="-2"/>
    <n v="0"/>
    <x v="4"/>
    <n v="1"/>
    <n v="1"/>
    <n v="1"/>
    <n v="0"/>
    <n v="1420"/>
    <n v="2"/>
    <x v="1"/>
    <n v="1"/>
    <n v="3"/>
    <n v="85"/>
    <n v="3"/>
    <n v="1"/>
    <n v="1"/>
    <n v="3041"/>
    <n v="16346"/>
    <n v="0"/>
    <n v="11"/>
    <n v="3"/>
    <n v="2"/>
    <n v="80"/>
    <n v="1"/>
    <n v="5"/>
    <n v="3"/>
    <n v="4"/>
    <n v="3"/>
    <n v="0"/>
    <n v="2"/>
  </r>
  <r>
    <s v="No"/>
    <s v="Travel_Rarely"/>
    <x v="4"/>
    <s v="Current Employees"/>
    <x v="0"/>
    <x v="4"/>
    <s v="STAFF-669"/>
    <x v="496"/>
    <x v="1"/>
    <x v="6"/>
    <x v="0"/>
    <s v="No"/>
    <s v="Y"/>
    <n v="2"/>
    <n v="-2"/>
    <n v="0"/>
    <x v="18"/>
    <n v="0"/>
    <m/>
    <n v="0"/>
    <n v="1"/>
    <n v="1343"/>
    <n v="22"/>
    <x v="1"/>
    <n v="1"/>
    <n v="4"/>
    <n v="49"/>
    <n v="3"/>
    <n v="1"/>
    <n v="4"/>
    <n v="3447"/>
    <n v="24444"/>
    <n v="1"/>
    <n v="11"/>
    <n v="3"/>
    <n v="3"/>
    <n v="80"/>
    <n v="0"/>
    <n v="3"/>
    <n v="3"/>
    <n v="3"/>
    <n v="2"/>
    <n v="1"/>
    <n v="2"/>
  </r>
  <r>
    <s v="No"/>
    <s v="Travel_Rarely"/>
    <x v="0"/>
    <s v="Current Employees"/>
    <x v="1"/>
    <x v="1"/>
    <s v="STAFF-671"/>
    <x v="497"/>
    <x v="1"/>
    <x v="5"/>
    <x v="1"/>
    <s v="Yes"/>
    <s v="Y"/>
    <n v="2"/>
    <n v="-2"/>
    <n v="0"/>
    <x v="20"/>
    <n v="0"/>
    <m/>
    <n v="0"/>
    <n v="1"/>
    <n v="1315"/>
    <n v="3"/>
    <x v="2"/>
    <n v="1"/>
    <n v="4"/>
    <n v="35"/>
    <n v="3"/>
    <n v="5"/>
    <n v="4"/>
    <n v="19513"/>
    <n v="9358"/>
    <n v="4"/>
    <n v="12"/>
    <n v="3"/>
    <n v="1"/>
    <n v="80"/>
    <n v="1"/>
    <n v="26"/>
    <n v="4"/>
    <n v="2"/>
    <n v="2"/>
    <n v="0"/>
    <n v="1"/>
  </r>
  <r>
    <s v="No"/>
    <s v="Travel_Rarely"/>
    <x v="4"/>
    <s v="Current Employees"/>
    <x v="1"/>
    <x v="2"/>
    <s v="STAFF-675"/>
    <x v="498"/>
    <x v="1"/>
    <x v="1"/>
    <x v="1"/>
    <s v="No"/>
    <s v="Y"/>
    <n v="3"/>
    <n v="-2"/>
    <n v="0"/>
    <x v="15"/>
    <n v="0"/>
    <m/>
    <n v="0"/>
    <n v="1"/>
    <n v="604"/>
    <n v="6"/>
    <x v="1"/>
    <n v="1"/>
    <n v="1"/>
    <n v="69"/>
    <n v="3"/>
    <n v="1"/>
    <n v="3"/>
    <n v="2773"/>
    <n v="12145"/>
    <n v="0"/>
    <n v="20"/>
    <n v="4"/>
    <n v="4"/>
    <n v="80"/>
    <n v="0"/>
    <n v="3"/>
    <n v="3"/>
    <n v="2"/>
    <n v="2"/>
    <n v="2"/>
    <n v="2"/>
  </r>
  <r>
    <s v="No"/>
    <s v="Travel_Rarely"/>
    <x v="2"/>
    <s v="Current Employees"/>
    <x v="0"/>
    <x v="3"/>
    <s v="STAFF-677"/>
    <x v="499"/>
    <x v="1"/>
    <x v="0"/>
    <x v="2"/>
    <s v="No"/>
    <s v="Y"/>
    <n v="3"/>
    <n v="-2"/>
    <n v="0"/>
    <x v="3"/>
    <n v="0"/>
    <m/>
    <n v="0"/>
    <n v="1"/>
    <n v="1216"/>
    <n v="8"/>
    <x v="2"/>
    <n v="1"/>
    <n v="3"/>
    <n v="39"/>
    <n v="3"/>
    <n v="2"/>
    <n v="1"/>
    <n v="7104"/>
    <n v="20431"/>
    <n v="0"/>
    <n v="12"/>
    <n v="3"/>
    <n v="4"/>
    <n v="80"/>
    <n v="0"/>
    <n v="6"/>
    <n v="3"/>
    <n v="5"/>
    <n v="0"/>
    <n v="1"/>
    <n v="2"/>
  </r>
  <r>
    <s v="No"/>
    <s v="Travel_Rarely"/>
    <x v="2"/>
    <s v="Current Employees"/>
    <x v="1"/>
    <x v="0"/>
    <s v="STAFF-679"/>
    <x v="500"/>
    <x v="0"/>
    <x v="1"/>
    <x v="1"/>
    <s v="Yes"/>
    <s v="Y"/>
    <n v="2"/>
    <n v="-2"/>
    <n v="0"/>
    <x v="5"/>
    <n v="0"/>
    <m/>
    <n v="0"/>
    <n v="1"/>
    <n v="646"/>
    <n v="9"/>
    <x v="2"/>
    <n v="1"/>
    <n v="1"/>
    <n v="92"/>
    <n v="3"/>
    <n v="2"/>
    <n v="2"/>
    <n v="6322"/>
    <n v="18089"/>
    <n v="1"/>
    <n v="12"/>
    <n v="3"/>
    <n v="4"/>
    <n v="80"/>
    <n v="1"/>
    <n v="6"/>
    <n v="2"/>
    <n v="6"/>
    <n v="4"/>
    <n v="0"/>
    <n v="5"/>
  </r>
  <r>
    <s v="No"/>
    <s v="Travel_Frequently"/>
    <x v="2"/>
    <s v="Current Employees"/>
    <x v="1"/>
    <x v="2"/>
    <s v="STAFF-680"/>
    <x v="501"/>
    <x v="0"/>
    <x v="1"/>
    <x v="2"/>
    <s v="No"/>
    <s v="Y"/>
    <n v="2"/>
    <n v="-2"/>
    <n v="0"/>
    <x v="7"/>
    <n v="0"/>
    <m/>
    <n v="0"/>
    <n v="1"/>
    <n v="160"/>
    <n v="3"/>
    <x v="3"/>
    <n v="1"/>
    <n v="3"/>
    <n v="71"/>
    <n v="3"/>
    <n v="1"/>
    <n v="3"/>
    <n v="2083"/>
    <n v="22653"/>
    <n v="1"/>
    <n v="20"/>
    <n v="4"/>
    <n v="3"/>
    <n v="80"/>
    <n v="1"/>
    <n v="1"/>
    <n v="3"/>
    <n v="1"/>
    <n v="0"/>
    <n v="0"/>
    <n v="0"/>
  </r>
  <r>
    <s v="No"/>
    <s v="Travel_Rarely"/>
    <x v="1"/>
    <s v="Current Employees"/>
    <x v="0"/>
    <x v="2"/>
    <s v="STAFF-682"/>
    <x v="502"/>
    <x v="0"/>
    <x v="0"/>
    <x v="0"/>
    <s v="No"/>
    <s v="Y"/>
    <n v="2"/>
    <n v="-2"/>
    <n v="0"/>
    <x v="16"/>
    <n v="0"/>
    <m/>
    <n v="0"/>
    <n v="1"/>
    <n v="238"/>
    <n v="1"/>
    <x v="1"/>
    <n v="1"/>
    <n v="4"/>
    <n v="34"/>
    <n v="3"/>
    <n v="2"/>
    <n v="3"/>
    <n v="8381"/>
    <n v="7507"/>
    <n v="7"/>
    <n v="20"/>
    <n v="4"/>
    <n v="4"/>
    <n v="80"/>
    <n v="0"/>
    <n v="18"/>
    <n v="4"/>
    <n v="14"/>
    <n v="7"/>
    <n v="8"/>
    <n v="10"/>
  </r>
  <r>
    <s v="No"/>
    <s v="Travel_Rarely"/>
    <x v="2"/>
    <s v="Current Employees"/>
    <x v="1"/>
    <x v="0"/>
    <s v="STAFF-683"/>
    <x v="503"/>
    <x v="1"/>
    <x v="1"/>
    <x v="1"/>
    <s v="No"/>
    <s v="Y"/>
    <n v="4"/>
    <n v="-2"/>
    <n v="0"/>
    <x v="13"/>
    <n v="0"/>
    <m/>
    <n v="0"/>
    <n v="1"/>
    <n v="1397"/>
    <n v="1"/>
    <x v="4"/>
    <n v="1"/>
    <n v="2"/>
    <n v="42"/>
    <n v="3"/>
    <n v="1"/>
    <n v="2"/>
    <n v="2691"/>
    <n v="7660"/>
    <n v="1"/>
    <n v="12"/>
    <n v="3"/>
    <n v="4"/>
    <n v="80"/>
    <n v="1"/>
    <n v="10"/>
    <n v="2"/>
    <n v="10"/>
    <n v="9"/>
    <n v="8"/>
    <n v="8"/>
  </r>
  <r>
    <s v="Yes"/>
    <s v="Travel_Frequently"/>
    <x v="1"/>
    <s v="Ex-Employees"/>
    <x v="0"/>
    <x v="0"/>
    <s v="STAFF-684"/>
    <x v="504"/>
    <x v="0"/>
    <x v="0"/>
    <x v="1"/>
    <s v="No"/>
    <s v="Y"/>
    <n v="4"/>
    <n v="-2"/>
    <n v="0"/>
    <x v="28"/>
    <n v="1"/>
    <n v="1"/>
    <n v="1"/>
    <n v="0"/>
    <n v="306"/>
    <n v="26"/>
    <x v="2"/>
    <n v="1"/>
    <n v="1"/>
    <n v="100"/>
    <n v="3"/>
    <n v="2"/>
    <n v="2"/>
    <n v="4286"/>
    <n v="5630"/>
    <n v="2"/>
    <n v="14"/>
    <n v="3"/>
    <n v="4"/>
    <n v="80"/>
    <n v="2"/>
    <n v="5"/>
    <n v="3"/>
    <n v="1"/>
    <n v="1"/>
    <n v="0"/>
    <n v="0"/>
  </r>
  <r>
    <s v="No"/>
    <s v="Travel_Rarely"/>
    <x v="2"/>
    <s v="Current Employees"/>
    <x v="1"/>
    <x v="0"/>
    <s v="STAFF-686"/>
    <x v="505"/>
    <x v="0"/>
    <x v="2"/>
    <x v="1"/>
    <s v="Yes"/>
    <s v="Y"/>
    <n v="2"/>
    <n v="-2"/>
    <n v="0"/>
    <x v="25"/>
    <n v="0"/>
    <m/>
    <n v="0"/>
    <n v="1"/>
    <n v="991"/>
    <n v="6"/>
    <x v="3"/>
    <n v="1"/>
    <n v="3"/>
    <n v="71"/>
    <n v="3"/>
    <n v="1"/>
    <n v="2"/>
    <n v="2659"/>
    <n v="17759"/>
    <n v="1"/>
    <n v="13"/>
    <n v="3"/>
    <n v="3"/>
    <n v="80"/>
    <n v="1"/>
    <n v="3"/>
    <n v="3"/>
    <n v="3"/>
    <n v="2"/>
    <n v="0"/>
    <n v="2"/>
  </r>
  <r>
    <s v="No"/>
    <s v="Travel_Rarely"/>
    <x v="0"/>
    <s v="Current Employees"/>
    <x v="1"/>
    <x v="1"/>
    <s v="STAFF-689"/>
    <x v="506"/>
    <x v="1"/>
    <x v="3"/>
    <x v="1"/>
    <s v="No"/>
    <s v="Y"/>
    <n v="2"/>
    <n v="-2"/>
    <n v="0"/>
    <x v="2"/>
    <n v="0"/>
    <m/>
    <n v="0"/>
    <n v="1"/>
    <n v="482"/>
    <n v="3"/>
    <x v="3"/>
    <n v="1"/>
    <n v="3"/>
    <n v="36"/>
    <n v="3"/>
    <n v="3"/>
    <n v="3"/>
    <n v="9434"/>
    <n v="9606"/>
    <n v="1"/>
    <n v="15"/>
    <n v="3"/>
    <n v="3"/>
    <n v="80"/>
    <n v="1"/>
    <n v="10"/>
    <n v="3"/>
    <n v="10"/>
    <n v="7"/>
    <n v="7"/>
    <n v="8"/>
  </r>
  <r>
    <s v="No"/>
    <s v="Travel_Rarely"/>
    <x v="2"/>
    <s v="Current Employees"/>
    <x v="0"/>
    <x v="2"/>
    <s v="STAFF-690"/>
    <x v="507"/>
    <x v="0"/>
    <x v="0"/>
    <x v="1"/>
    <s v="No"/>
    <s v="Y"/>
    <n v="5"/>
    <n v="-2"/>
    <n v="0"/>
    <x v="11"/>
    <n v="0"/>
    <m/>
    <n v="0"/>
    <n v="1"/>
    <n v="1176"/>
    <n v="3"/>
    <x v="0"/>
    <n v="1"/>
    <n v="2"/>
    <n v="62"/>
    <n v="3"/>
    <n v="2"/>
    <n v="3"/>
    <n v="5561"/>
    <n v="3487"/>
    <n v="1"/>
    <n v="14"/>
    <n v="3"/>
    <n v="1"/>
    <n v="80"/>
    <n v="1"/>
    <n v="6"/>
    <n v="2"/>
    <n v="6"/>
    <n v="0"/>
    <n v="1"/>
    <n v="2"/>
  </r>
  <r>
    <s v="No"/>
    <s v="Travel_Rarely"/>
    <x v="0"/>
    <s v="Current Employees"/>
    <x v="1"/>
    <x v="0"/>
    <s v="STAFF-691"/>
    <x v="508"/>
    <x v="1"/>
    <x v="1"/>
    <x v="0"/>
    <s v="No"/>
    <s v="Y"/>
    <n v="3"/>
    <n v="-2"/>
    <n v="0"/>
    <x v="10"/>
    <n v="0"/>
    <m/>
    <n v="0"/>
    <n v="1"/>
    <n v="1017"/>
    <n v="6"/>
    <x v="2"/>
    <n v="1"/>
    <n v="2"/>
    <n v="82"/>
    <n v="1"/>
    <n v="2"/>
    <n v="2"/>
    <n v="6646"/>
    <n v="19368"/>
    <n v="1"/>
    <n v="13"/>
    <n v="3"/>
    <n v="2"/>
    <n v="80"/>
    <n v="0"/>
    <n v="17"/>
    <n v="3"/>
    <n v="17"/>
    <n v="11"/>
    <n v="11"/>
    <n v="8"/>
  </r>
  <r>
    <s v="No"/>
    <s v="Travel_Frequently"/>
    <x v="2"/>
    <s v="Current Employees"/>
    <x v="1"/>
    <x v="0"/>
    <s v="STAFF-692"/>
    <x v="509"/>
    <x v="1"/>
    <x v="4"/>
    <x v="2"/>
    <s v="No"/>
    <s v="Y"/>
    <n v="2"/>
    <n v="-2"/>
    <n v="0"/>
    <x v="3"/>
    <n v="0"/>
    <m/>
    <n v="0"/>
    <n v="1"/>
    <n v="1296"/>
    <n v="6"/>
    <x v="3"/>
    <n v="1"/>
    <n v="3"/>
    <n v="30"/>
    <n v="3"/>
    <n v="2"/>
    <n v="2"/>
    <n v="7725"/>
    <n v="5335"/>
    <n v="3"/>
    <n v="23"/>
    <n v="4"/>
    <n v="3"/>
    <n v="80"/>
    <n v="1"/>
    <n v="15"/>
    <n v="1"/>
    <n v="13"/>
    <n v="11"/>
    <n v="4"/>
    <n v="7"/>
  </r>
  <r>
    <s v="No"/>
    <s v="Travel_Rarely"/>
    <x v="1"/>
    <s v="Current Employees"/>
    <x v="2"/>
    <x v="2"/>
    <s v="STAFF-698"/>
    <x v="510"/>
    <x v="1"/>
    <x v="8"/>
    <x v="1"/>
    <s v="No"/>
    <s v="Y"/>
    <n v="1"/>
    <n v="-2"/>
    <n v="0"/>
    <x v="33"/>
    <n v="0"/>
    <m/>
    <n v="0"/>
    <n v="1"/>
    <n v="397"/>
    <n v="19"/>
    <x v="2"/>
    <n v="1"/>
    <n v="3"/>
    <n v="88"/>
    <n v="3"/>
    <n v="3"/>
    <n v="3"/>
    <n v="10725"/>
    <n v="6729"/>
    <n v="2"/>
    <n v="15"/>
    <n v="3"/>
    <n v="3"/>
    <n v="80"/>
    <n v="1"/>
    <n v="16"/>
    <n v="4"/>
    <n v="9"/>
    <n v="7"/>
    <n v="7"/>
    <n v="1"/>
  </r>
  <r>
    <s v="No"/>
    <s v="Travel_Rarely"/>
    <x v="0"/>
    <s v="Current Employees"/>
    <x v="1"/>
    <x v="2"/>
    <s v="STAFF-699"/>
    <x v="511"/>
    <x v="1"/>
    <x v="3"/>
    <x v="2"/>
    <s v="Yes"/>
    <s v="Y"/>
    <n v="2"/>
    <n v="-2"/>
    <n v="0"/>
    <x v="9"/>
    <n v="0"/>
    <m/>
    <n v="0"/>
    <n v="1"/>
    <n v="913"/>
    <n v="9"/>
    <x v="0"/>
    <n v="1"/>
    <n v="2"/>
    <n v="48"/>
    <n v="2"/>
    <n v="2"/>
    <n v="3"/>
    <n v="8847"/>
    <n v="13934"/>
    <n v="2"/>
    <n v="11"/>
    <n v="3"/>
    <n v="3"/>
    <n v="80"/>
    <n v="1"/>
    <n v="13"/>
    <n v="3"/>
    <n v="3"/>
    <n v="2"/>
    <n v="0"/>
    <n v="2"/>
  </r>
  <r>
    <s v="No"/>
    <s v="Travel_Rarely"/>
    <x v="2"/>
    <s v="Current Employees"/>
    <x v="1"/>
    <x v="2"/>
    <s v="STAFF-700"/>
    <x v="512"/>
    <x v="1"/>
    <x v="1"/>
    <x v="0"/>
    <s v="No"/>
    <s v="Y"/>
    <n v="0"/>
    <n v="-2"/>
    <n v="0"/>
    <x v="4"/>
    <n v="0"/>
    <m/>
    <n v="0"/>
    <n v="1"/>
    <n v="1115"/>
    <n v="3"/>
    <x v="2"/>
    <n v="1"/>
    <n v="1"/>
    <n v="54"/>
    <n v="2"/>
    <n v="1"/>
    <n v="4"/>
    <n v="2045"/>
    <n v="15174"/>
    <n v="0"/>
    <n v="13"/>
    <n v="3"/>
    <n v="4"/>
    <n v="80"/>
    <n v="0"/>
    <n v="5"/>
    <n v="3"/>
    <n v="4"/>
    <n v="2"/>
    <n v="1"/>
    <n v="1"/>
  </r>
  <r>
    <s v="Yes"/>
    <s v="Travel_Rarely"/>
    <x v="4"/>
    <s v="Ex-Employees"/>
    <x v="1"/>
    <x v="2"/>
    <s v="STAFF-701"/>
    <x v="513"/>
    <x v="1"/>
    <x v="1"/>
    <x v="0"/>
    <s v="Yes"/>
    <s v="Y"/>
    <n v="5"/>
    <n v="-2"/>
    <n v="0"/>
    <x v="35"/>
    <n v="1"/>
    <n v="1"/>
    <n v="1"/>
    <n v="0"/>
    <n v="1362"/>
    <n v="10"/>
    <x v="1"/>
    <n v="1"/>
    <n v="4"/>
    <n v="32"/>
    <n v="3"/>
    <n v="1"/>
    <n v="3"/>
    <n v="1009"/>
    <n v="26999"/>
    <n v="1"/>
    <n v="11"/>
    <n v="3"/>
    <n v="4"/>
    <n v="80"/>
    <n v="0"/>
    <n v="1"/>
    <n v="3"/>
    <n v="1"/>
    <n v="0"/>
    <n v="1"/>
    <n v="1"/>
  </r>
  <r>
    <s v="Yes"/>
    <s v="Travel_Frequently"/>
    <x v="2"/>
    <s v="Ex-Employees"/>
    <x v="1"/>
    <x v="0"/>
    <s v="STAFF-702"/>
    <x v="514"/>
    <x v="1"/>
    <x v="1"/>
    <x v="0"/>
    <s v="Yes"/>
    <s v="Y"/>
    <n v="3"/>
    <n v="-2"/>
    <n v="0"/>
    <x v="3"/>
    <n v="1"/>
    <n v="1"/>
    <n v="1"/>
    <n v="0"/>
    <n v="1076"/>
    <n v="3"/>
    <x v="3"/>
    <n v="1"/>
    <n v="1"/>
    <n v="70"/>
    <n v="3"/>
    <n v="1"/>
    <n v="2"/>
    <n v="3348"/>
    <n v="3164"/>
    <n v="1"/>
    <n v="11"/>
    <n v="3"/>
    <n v="1"/>
    <n v="80"/>
    <n v="0"/>
    <n v="10"/>
    <n v="3"/>
    <n v="10"/>
    <n v="8"/>
    <n v="9"/>
    <n v="7"/>
  </r>
  <r>
    <s v="No"/>
    <s v="Non-Travel"/>
    <x v="0"/>
    <s v="Current Employees"/>
    <x v="1"/>
    <x v="0"/>
    <s v="STAFF-704"/>
    <x v="515"/>
    <x v="1"/>
    <x v="2"/>
    <x v="1"/>
    <s v="No"/>
    <s v="Y"/>
    <n v="3"/>
    <n v="-2"/>
    <n v="0"/>
    <x v="10"/>
    <n v="0"/>
    <m/>
    <n v="0"/>
    <n v="1"/>
    <n v="727"/>
    <n v="3"/>
    <x v="3"/>
    <n v="1"/>
    <n v="3"/>
    <n v="41"/>
    <n v="2"/>
    <n v="1"/>
    <n v="2"/>
    <n v="1281"/>
    <n v="16900"/>
    <n v="1"/>
    <n v="18"/>
    <n v="3"/>
    <n v="3"/>
    <n v="80"/>
    <n v="2"/>
    <n v="1"/>
    <n v="3"/>
    <n v="1"/>
    <n v="0"/>
    <n v="0"/>
    <n v="0"/>
  </r>
  <r>
    <s v="No"/>
    <s v="Travel_Rarely"/>
    <x v="4"/>
    <s v="Current Employees"/>
    <x v="1"/>
    <x v="2"/>
    <s v="STAFF-705"/>
    <x v="516"/>
    <x v="1"/>
    <x v="1"/>
    <x v="1"/>
    <s v="No"/>
    <s v="Y"/>
    <n v="3"/>
    <n v="-2"/>
    <n v="0"/>
    <x v="30"/>
    <n v="0"/>
    <m/>
    <n v="0"/>
    <n v="1"/>
    <n v="885"/>
    <n v="4"/>
    <x v="3"/>
    <n v="1"/>
    <n v="1"/>
    <n v="58"/>
    <n v="4"/>
    <n v="1"/>
    <n v="3"/>
    <n v="2819"/>
    <n v="8544"/>
    <n v="2"/>
    <n v="16"/>
    <n v="3"/>
    <n v="1"/>
    <n v="80"/>
    <n v="1"/>
    <n v="5"/>
    <n v="4"/>
    <n v="3"/>
    <n v="2"/>
    <n v="0"/>
    <n v="2"/>
  </r>
  <r>
    <s v="No"/>
    <s v="Travel_Rarely"/>
    <x v="2"/>
    <s v="Current Employees"/>
    <x v="0"/>
    <x v="0"/>
    <s v="STAFF-707"/>
    <x v="517"/>
    <x v="1"/>
    <x v="0"/>
    <x v="1"/>
    <s v="No"/>
    <s v="Y"/>
    <n v="4"/>
    <n v="-2"/>
    <n v="0"/>
    <x v="36"/>
    <n v="0"/>
    <m/>
    <n v="0"/>
    <n v="1"/>
    <n v="810"/>
    <n v="8"/>
    <x v="3"/>
    <n v="1"/>
    <n v="4"/>
    <n v="57"/>
    <n v="4"/>
    <n v="2"/>
    <n v="2"/>
    <n v="4851"/>
    <n v="15678"/>
    <n v="0"/>
    <n v="22"/>
    <n v="4"/>
    <n v="3"/>
    <n v="80"/>
    <n v="1"/>
    <n v="4"/>
    <n v="3"/>
    <n v="3"/>
    <n v="2"/>
    <n v="1"/>
    <n v="2"/>
  </r>
  <r>
    <s v="No"/>
    <s v="Travel_Rarely"/>
    <x v="0"/>
    <s v="Current Employees"/>
    <x v="0"/>
    <x v="3"/>
    <s v="STAFF-709"/>
    <x v="518"/>
    <x v="0"/>
    <x v="0"/>
    <x v="0"/>
    <s v="No"/>
    <s v="Y"/>
    <n v="2"/>
    <n v="-2"/>
    <n v="0"/>
    <x v="8"/>
    <n v="0"/>
    <m/>
    <n v="0"/>
    <n v="1"/>
    <n v="243"/>
    <n v="7"/>
    <x v="2"/>
    <n v="1"/>
    <n v="4"/>
    <n v="46"/>
    <n v="2"/>
    <n v="2"/>
    <n v="1"/>
    <n v="4028"/>
    <n v="7791"/>
    <n v="0"/>
    <n v="20"/>
    <n v="4"/>
    <n v="1"/>
    <n v="80"/>
    <n v="0"/>
    <n v="8"/>
    <n v="3"/>
    <n v="7"/>
    <n v="7"/>
    <n v="0"/>
    <n v="5"/>
  </r>
  <r>
    <s v="No"/>
    <s v="Travel_Frequently"/>
    <x v="2"/>
    <s v="Current Employees"/>
    <x v="1"/>
    <x v="0"/>
    <s v="STAFF-710"/>
    <x v="519"/>
    <x v="1"/>
    <x v="1"/>
    <x v="2"/>
    <s v="No"/>
    <s v="Y"/>
    <n v="5"/>
    <n v="-2"/>
    <n v="0"/>
    <x v="11"/>
    <n v="0"/>
    <m/>
    <n v="0"/>
    <n v="1"/>
    <n v="806"/>
    <n v="1"/>
    <x v="2"/>
    <n v="1"/>
    <n v="2"/>
    <n v="76"/>
    <n v="1"/>
    <n v="1"/>
    <n v="4"/>
    <n v="2720"/>
    <n v="18959"/>
    <n v="1"/>
    <n v="18"/>
    <n v="3"/>
    <n v="4"/>
    <n v="80"/>
    <n v="1"/>
    <n v="10"/>
    <n v="3"/>
    <n v="10"/>
    <n v="7"/>
    <n v="2"/>
    <n v="8"/>
  </r>
  <r>
    <s v="No"/>
    <s v="Travel_Rarely"/>
    <x v="1"/>
    <s v="Current Employees"/>
    <x v="0"/>
    <x v="3"/>
    <s v="STAFF-712"/>
    <x v="520"/>
    <x v="1"/>
    <x v="0"/>
    <x v="1"/>
    <s v="No"/>
    <s v="Y"/>
    <n v="3"/>
    <n v="-2"/>
    <n v="0"/>
    <x v="26"/>
    <n v="0"/>
    <m/>
    <n v="0"/>
    <n v="1"/>
    <n v="817"/>
    <n v="2"/>
    <x v="1"/>
    <n v="1"/>
    <n v="2"/>
    <n v="56"/>
    <n v="4"/>
    <n v="2"/>
    <n v="1"/>
    <n v="8120"/>
    <n v="18597"/>
    <n v="3"/>
    <n v="12"/>
    <n v="3"/>
    <n v="4"/>
    <n v="80"/>
    <n v="0"/>
    <n v="12"/>
    <n v="3"/>
    <n v="2"/>
    <n v="2"/>
    <n v="2"/>
    <n v="2"/>
  </r>
  <r>
    <s v="No"/>
    <s v="Travel_Frequently"/>
    <x v="2"/>
    <s v="Current Employees"/>
    <x v="0"/>
    <x v="2"/>
    <s v="STAFF-714"/>
    <x v="521"/>
    <x v="0"/>
    <x v="0"/>
    <x v="2"/>
    <s v="Yes"/>
    <s v="Y"/>
    <n v="3"/>
    <n v="-2"/>
    <n v="0"/>
    <x v="4"/>
    <n v="0"/>
    <m/>
    <n v="0"/>
    <n v="1"/>
    <n v="1410"/>
    <n v="3"/>
    <x v="1"/>
    <n v="1"/>
    <n v="4"/>
    <n v="71"/>
    <n v="4"/>
    <n v="2"/>
    <n v="4"/>
    <n v="4647"/>
    <n v="16673"/>
    <n v="1"/>
    <n v="20"/>
    <n v="4"/>
    <n v="2"/>
    <n v="80"/>
    <n v="2"/>
    <n v="6"/>
    <n v="3"/>
    <n v="6"/>
    <n v="5"/>
    <n v="0"/>
    <n v="4"/>
  </r>
  <r>
    <s v="No"/>
    <s v="Travel_Rarely"/>
    <x v="0"/>
    <s v="Current Employees"/>
    <x v="1"/>
    <x v="0"/>
    <s v="STAFF-715"/>
    <x v="522"/>
    <x v="1"/>
    <x v="1"/>
    <x v="0"/>
    <s v="No"/>
    <s v="Y"/>
    <n v="2"/>
    <n v="-2"/>
    <n v="0"/>
    <x v="2"/>
    <n v="0"/>
    <m/>
    <n v="0"/>
    <n v="1"/>
    <n v="1225"/>
    <n v="10"/>
    <x v="0"/>
    <n v="1"/>
    <n v="4"/>
    <n v="80"/>
    <n v="4"/>
    <n v="1"/>
    <n v="4"/>
    <n v="4680"/>
    <n v="15232"/>
    <n v="3"/>
    <n v="17"/>
    <n v="3"/>
    <n v="1"/>
    <n v="80"/>
    <n v="0"/>
    <n v="4"/>
    <n v="3"/>
    <n v="1"/>
    <n v="0"/>
    <n v="0"/>
    <n v="0"/>
  </r>
  <r>
    <s v="No"/>
    <s v="Travel_Rarely"/>
    <x v="1"/>
    <s v="Current Employees"/>
    <x v="1"/>
    <x v="2"/>
    <s v="STAFF-716"/>
    <x v="523"/>
    <x v="1"/>
    <x v="2"/>
    <x v="1"/>
    <s v="Yes"/>
    <s v="Y"/>
    <n v="3"/>
    <n v="-2"/>
    <n v="0"/>
    <x v="24"/>
    <n v="0"/>
    <m/>
    <n v="0"/>
    <n v="1"/>
    <n v="1207"/>
    <n v="28"/>
    <x v="1"/>
    <n v="1"/>
    <n v="4"/>
    <n v="74"/>
    <n v="4"/>
    <n v="1"/>
    <n v="3"/>
    <n v="3221"/>
    <n v="3297"/>
    <n v="1"/>
    <n v="11"/>
    <n v="3"/>
    <n v="3"/>
    <n v="80"/>
    <n v="3"/>
    <n v="20"/>
    <n v="3"/>
    <n v="20"/>
    <n v="8"/>
    <n v="3"/>
    <n v="8"/>
  </r>
  <r>
    <s v="No"/>
    <s v="Travel_Rarely"/>
    <x v="2"/>
    <s v="Current Employees"/>
    <x v="1"/>
    <x v="2"/>
    <s v="STAFF-717"/>
    <x v="524"/>
    <x v="0"/>
    <x v="4"/>
    <x v="0"/>
    <s v="No"/>
    <s v="Y"/>
    <n v="3"/>
    <n v="-2"/>
    <n v="0"/>
    <x v="13"/>
    <n v="0"/>
    <m/>
    <n v="0"/>
    <n v="1"/>
    <n v="1442"/>
    <n v="9"/>
    <x v="3"/>
    <n v="1"/>
    <n v="4"/>
    <n v="46"/>
    <n v="2"/>
    <n v="3"/>
    <n v="3"/>
    <n v="8621"/>
    <n v="17654"/>
    <n v="1"/>
    <n v="14"/>
    <n v="3"/>
    <n v="2"/>
    <n v="80"/>
    <n v="0"/>
    <n v="9"/>
    <n v="4"/>
    <n v="8"/>
    <n v="7"/>
    <n v="7"/>
    <n v="7"/>
  </r>
  <r>
    <s v="Yes"/>
    <s v="Travel_Rarely"/>
    <x v="4"/>
    <s v="Ex-Employees"/>
    <x v="0"/>
    <x v="0"/>
    <s v="STAFF-720"/>
    <x v="525"/>
    <x v="0"/>
    <x v="0"/>
    <x v="0"/>
    <s v="No"/>
    <s v="Y"/>
    <n v="3"/>
    <n v="-2"/>
    <n v="0"/>
    <x v="17"/>
    <n v="1"/>
    <n v="1"/>
    <n v="1"/>
    <n v="0"/>
    <n v="693"/>
    <n v="3"/>
    <x v="0"/>
    <n v="1"/>
    <n v="1"/>
    <n v="65"/>
    <n v="3"/>
    <n v="2"/>
    <n v="3"/>
    <n v="4577"/>
    <n v="24785"/>
    <n v="9"/>
    <n v="14"/>
    <n v="3"/>
    <n v="1"/>
    <n v="80"/>
    <n v="0"/>
    <n v="4"/>
    <n v="3"/>
    <n v="2"/>
    <n v="2"/>
    <n v="2"/>
    <n v="0"/>
  </r>
  <r>
    <s v="No"/>
    <s v="Travel_Rarely"/>
    <x v="0"/>
    <s v="Current Employees"/>
    <x v="1"/>
    <x v="4"/>
    <s v="STAFF-721"/>
    <x v="526"/>
    <x v="0"/>
    <x v="4"/>
    <x v="0"/>
    <s v="No"/>
    <s v="Y"/>
    <n v="4"/>
    <n v="-2"/>
    <n v="0"/>
    <x v="22"/>
    <n v="0"/>
    <m/>
    <n v="0"/>
    <n v="1"/>
    <n v="408"/>
    <n v="2"/>
    <x v="2"/>
    <n v="1"/>
    <n v="4"/>
    <n v="80"/>
    <n v="2"/>
    <n v="2"/>
    <n v="4"/>
    <n v="4553"/>
    <n v="20978"/>
    <n v="1"/>
    <n v="11"/>
    <n v="3"/>
    <n v="1"/>
    <n v="80"/>
    <n v="0"/>
    <n v="20"/>
    <n v="3"/>
    <n v="20"/>
    <n v="7"/>
    <n v="11"/>
    <n v="10"/>
  </r>
  <r>
    <s v="No"/>
    <s v="Travel_Rarely"/>
    <x v="2"/>
    <s v="Current Employees"/>
    <x v="0"/>
    <x v="3"/>
    <s v="STAFF-722"/>
    <x v="527"/>
    <x v="1"/>
    <x v="0"/>
    <x v="0"/>
    <s v="No"/>
    <s v="Y"/>
    <n v="2"/>
    <n v="-2"/>
    <n v="0"/>
    <x v="5"/>
    <n v="0"/>
    <m/>
    <n v="0"/>
    <n v="1"/>
    <n v="929"/>
    <n v="10"/>
    <x v="3"/>
    <n v="1"/>
    <n v="4"/>
    <n v="55"/>
    <n v="3"/>
    <n v="2"/>
    <n v="1"/>
    <n v="5396"/>
    <n v="21703"/>
    <n v="1"/>
    <n v="12"/>
    <n v="3"/>
    <n v="4"/>
    <n v="80"/>
    <n v="0"/>
    <n v="10"/>
    <n v="2"/>
    <n v="10"/>
    <n v="7"/>
    <n v="0"/>
    <n v="8"/>
  </r>
  <r>
    <s v="Yes"/>
    <s v="Travel_Frequently"/>
    <x v="1"/>
    <s v="Ex-Employees"/>
    <x v="0"/>
    <x v="4"/>
    <s v="STAFF-723"/>
    <x v="528"/>
    <x v="1"/>
    <x v="0"/>
    <x v="1"/>
    <s v="Yes"/>
    <s v="Y"/>
    <n v="4"/>
    <n v="-2"/>
    <n v="0"/>
    <x v="24"/>
    <n v="1"/>
    <n v="1"/>
    <n v="1"/>
    <n v="0"/>
    <n v="562"/>
    <n v="8"/>
    <x v="0"/>
    <n v="1"/>
    <n v="4"/>
    <n v="50"/>
    <n v="3"/>
    <n v="2"/>
    <n v="4"/>
    <n v="6796"/>
    <n v="23452"/>
    <n v="3"/>
    <n v="14"/>
    <n v="3"/>
    <n v="1"/>
    <n v="80"/>
    <n v="1"/>
    <n v="18"/>
    <n v="3"/>
    <n v="4"/>
    <n v="3"/>
    <n v="1"/>
    <n v="3"/>
  </r>
  <r>
    <s v="No"/>
    <s v="Travel_Rarely"/>
    <x v="0"/>
    <s v="Current Employees"/>
    <x v="1"/>
    <x v="0"/>
    <s v="STAFF-724"/>
    <x v="529"/>
    <x v="0"/>
    <x v="4"/>
    <x v="0"/>
    <s v="No"/>
    <s v="Y"/>
    <n v="4"/>
    <n v="-2"/>
    <n v="0"/>
    <x v="8"/>
    <n v="0"/>
    <m/>
    <n v="0"/>
    <n v="1"/>
    <n v="827"/>
    <n v="1"/>
    <x v="2"/>
    <n v="1"/>
    <n v="2"/>
    <n v="33"/>
    <n v="4"/>
    <n v="2"/>
    <n v="4"/>
    <n v="7625"/>
    <n v="19383"/>
    <n v="0"/>
    <n v="13"/>
    <n v="3"/>
    <n v="3"/>
    <n v="80"/>
    <n v="0"/>
    <n v="10"/>
    <n v="2"/>
    <n v="9"/>
    <n v="7"/>
    <n v="1"/>
    <n v="8"/>
  </r>
  <r>
    <s v="No"/>
    <s v="Travel_Rarely"/>
    <x v="2"/>
    <s v="Current Employees"/>
    <x v="1"/>
    <x v="0"/>
    <s v="STAFF-725"/>
    <x v="530"/>
    <x v="0"/>
    <x v="3"/>
    <x v="1"/>
    <s v="No"/>
    <s v="Y"/>
    <n v="3"/>
    <n v="-2"/>
    <n v="0"/>
    <x v="4"/>
    <n v="0"/>
    <m/>
    <n v="0"/>
    <n v="1"/>
    <n v="608"/>
    <n v="1"/>
    <x v="0"/>
    <n v="1"/>
    <n v="3"/>
    <n v="68"/>
    <n v="3"/>
    <n v="3"/>
    <n v="3"/>
    <n v="7412"/>
    <n v="6009"/>
    <n v="1"/>
    <n v="11"/>
    <n v="3"/>
    <n v="4"/>
    <n v="80"/>
    <n v="0"/>
    <n v="9"/>
    <n v="3"/>
    <n v="9"/>
    <n v="7"/>
    <n v="0"/>
    <n v="7"/>
  </r>
  <r>
    <s v="No"/>
    <s v="Travel_Rarely"/>
    <x v="2"/>
    <s v="Current Employees"/>
    <x v="1"/>
    <x v="0"/>
    <s v="STAFF-727"/>
    <x v="531"/>
    <x v="0"/>
    <x v="7"/>
    <x v="0"/>
    <s v="No"/>
    <s v="Y"/>
    <n v="6"/>
    <n v="-2"/>
    <n v="0"/>
    <x v="5"/>
    <n v="0"/>
    <m/>
    <n v="0"/>
    <n v="1"/>
    <n v="1018"/>
    <n v="3"/>
    <x v="0"/>
    <n v="1"/>
    <n v="3"/>
    <n v="39"/>
    <n v="3"/>
    <n v="3"/>
    <n v="4"/>
    <n v="11159"/>
    <n v="19373"/>
    <n v="3"/>
    <n v="15"/>
    <n v="3"/>
    <n v="4"/>
    <n v="80"/>
    <n v="0"/>
    <n v="10"/>
    <n v="3"/>
    <n v="7"/>
    <n v="7"/>
    <n v="7"/>
    <n v="7"/>
  </r>
  <r>
    <s v="No"/>
    <s v="Travel_Rarely"/>
    <x v="1"/>
    <s v="Current Employees"/>
    <x v="0"/>
    <x v="3"/>
    <s v="STAFF-728"/>
    <x v="532"/>
    <x v="1"/>
    <x v="0"/>
    <x v="0"/>
    <s v="No"/>
    <s v="Y"/>
    <n v="2"/>
    <n v="-2"/>
    <n v="0"/>
    <x v="40"/>
    <n v="0"/>
    <m/>
    <n v="0"/>
    <n v="1"/>
    <n v="703"/>
    <n v="14"/>
    <x v="2"/>
    <n v="1"/>
    <n v="4"/>
    <n v="42"/>
    <n v="3"/>
    <n v="2"/>
    <n v="1"/>
    <n v="4960"/>
    <n v="11825"/>
    <n v="2"/>
    <n v="12"/>
    <n v="3"/>
    <n v="4"/>
    <n v="80"/>
    <n v="0"/>
    <n v="20"/>
    <n v="3"/>
    <n v="7"/>
    <n v="7"/>
    <n v="1"/>
    <n v="7"/>
  </r>
  <r>
    <s v="No"/>
    <s v="Travel_Frequently"/>
    <x v="0"/>
    <s v="Current Employees"/>
    <x v="0"/>
    <x v="0"/>
    <s v="STAFF-729"/>
    <x v="533"/>
    <x v="1"/>
    <x v="0"/>
    <x v="1"/>
    <s v="Yes"/>
    <s v="Y"/>
    <n v="2"/>
    <n v="-2"/>
    <n v="0"/>
    <x v="32"/>
    <n v="0"/>
    <m/>
    <n v="0"/>
    <n v="1"/>
    <n v="580"/>
    <n v="5"/>
    <x v="2"/>
    <n v="1"/>
    <n v="4"/>
    <n v="48"/>
    <n v="2"/>
    <n v="3"/>
    <n v="3"/>
    <n v="10475"/>
    <n v="23772"/>
    <n v="5"/>
    <n v="21"/>
    <n v="4"/>
    <n v="3"/>
    <n v="80"/>
    <n v="1"/>
    <n v="20"/>
    <n v="3"/>
    <n v="18"/>
    <n v="13"/>
    <n v="1"/>
    <n v="12"/>
  </r>
  <r>
    <s v="No"/>
    <s v="Travel_Rarely"/>
    <x v="1"/>
    <s v="Current Employees"/>
    <x v="1"/>
    <x v="0"/>
    <s v="STAFF-730"/>
    <x v="534"/>
    <x v="1"/>
    <x v="7"/>
    <x v="1"/>
    <s v="No"/>
    <s v="Y"/>
    <n v="3"/>
    <n v="-2"/>
    <n v="0"/>
    <x v="16"/>
    <n v="0"/>
    <m/>
    <n v="0"/>
    <n v="1"/>
    <n v="970"/>
    <n v="7"/>
    <x v="3"/>
    <n v="1"/>
    <n v="3"/>
    <n v="59"/>
    <n v="4"/>
    <n v="4"/>
    <n v="3"/>
    <n v="14814"/>
    <n v="13514"/>
    <n v="3"/>
    <n v="19"/>
    <n v="3"/>
    <n v="3"/>
    <n v="80"/>
    <n v="0"/>
    <n v="32"/>
    <n v="3"/>
    <n v="5"/>
    <n v="1"/>
    <n v="1"/>
    <n v="3"/>
  </r>
  <r>
    <s v="No"/>
    <s v="Travel_Rarely"/>
    <x v="0"/>
    <s v="Current Employees"/>
    <x v="2"/>
    <x v="5"/>
    <s v="STAFF-731"/>
    <x v="535"/>
    <x v="1"/>
    <x v="5"/>
    <x v="2"/>
    <s v="No"/>
    <s v="Y"/>
    <n v="2"/>
    <n v="-2"/>
    <n v="0"/>
    <x v="0"/>
    <n v="0"/>
    <m/>
    <n v="0"/>
    <n v="1"/>
    <n v="427"/>
    <n v="10"/>
    <x v="2"/>
    <n v="1"/>
    <n v="2"/>
    <n v="73"/>
    <n v="2"/>
    <n v="5"/>
    <n v="4"/>
    <n v="19141"/>
    <n v="8861"/>
    <n v="3"/>
    <n v="15"/>
    <n v="3"/>
    <n v="2"/>
    <n v="80"/>
    <n v="3"/>
    <n v="23"/>
    <n v="2"/>
    <n v="21"/>
    <n v="6"/>
    <n v="12"/>
    <n v="6"/>
  </r>
  <r>
    <s v="No"/>
    <s v="Travel_Rarely"/>
    <x v="3"/>
    <s v="Current Employees"/>
    <x v="0"/>
    <x v="3"/>
    <s v="STAFF-732"/>
    <x v="536"/>
    <x v="1"/>
    <x v="0"/>
    <x v="0"/>
    <s v="No"/>
    <s v="Y"/>
    <n v="1"/>
    <n v="-2"/>
    <n v="0"/>
    <x v="42"/>
    <n v="0"/>
    <m/>
    <n v="0"/>
    <n v="1"/>
    <n v="1179"/>
    <n v="16"/>
    <x v="2"/>
    <n v="1"/>
    <n v="1"/>
    <n v="84"/>
    <n v="3"/>
    <n v="2"/>
    <n v="1"/>
    <n v="5405"/>
    <n v="11924"/>
    <n v="8"/>
    <n v="14"/>
    <n v="3"/>
    <n v="4"/>
    <n v="80"/>
    <n v="0"/>
    <n v="10"/>
    <n v="3"/>
    <n v="2"/>
    <n v="2"/>
    <n v="2"/>
    <n v="2"/>
  </r>
  <r>
    <s v="No"/>
    <s v="Travel_Frequently"/>
    <x v="2"/>
    <s v="Current Employees"/>
    <x v="1"/>
    <x v="0"/>
    <s v="STAFF-733"/>
    <x v="537"/>
    <x v="1"/>
    <x v="3"/>
    <x v="2"/>
    <s v="No"/>
    <s v="Y"/>
    <n v="4"/>
    <n v="-2"/>
    <n v="0"/>
    <x v="4"/>
    <n v="0"/>
    <m/>
    <n v="0"/>
    <n v="1"/>
    <n v="294"/>
    <n v="10"/>
    <x v="0"/>
    <n v="1"/>
    <n v="4"/>
    <n v="32"/>
    <n v="3"/>
    <n v="3"/>
    <n v="3"/>
    <n v="8793"/>
    <n v="4809"/>
    <n v="1"/>
    <n v="21"/>
    <n v="4"/>
    <n v="3"/>
    <n v="80"/>
    <n v="2"/>
    <n v="9"/>
    <n v="2"/>
    <n v="9"/>
    <n v="7"/>
    <n v="1"/>
    <n v="7"/>
  </r>
  <r>
    <s v="No"/>
    <s v="Travel_Rarely"/>
    <x v="0"/>
    <s v="Current Employees"/>
    <x v="2"/>
    <x v="5"/>
    <s v="STAFF-734"/>
    <x v="538"/>
    <x v="1"/>
    <x v="5"/>
    <x v="1"/>
    <s v="No"/>
    <s v="Y"/>
    <n v="3"/>
    <n v="-2"/>
    <n v="0"/>
    <x v="0"/>
    <n v="0"/>
    <m/>
    <n v="0"/>
    <n v="1"/>
    <n v="314"/>
    <n v="1"/>
    <x v="3"/>
    <n v="1"/>
    <n v="4"/>
    <n v="59"/>
    <n v="2"/>
    <n v="5"/>
    <n v="3"/>
    <n v="19189"/>
    <n v="19562"/>
    <n v="1"/>
    <n v="12"/>
    <n v="3"/>
    <n v="2"/>
    <n v="80"/>
    <n v="1"/>
    <n v="22"/>
    <n v="3"/>
    <n v="22"/>
    <n v="7"/>
    <n v="2"/>
    <n v="10"/>
  </r>
  <r>
    <s v="No"/>
    <s v="Travel_Rarely"/>
    <x v="1"/>
    <s v="Current Employees"/>
    <x v="0"/>
    <x v="3"/>
    <s v="STAFF-738"/>
    <x v="539"/>
    <x v="1"/>
    <x v="6"/>
    <x v="1"/>
    <s v="No"/>
    <s v="Y"/>
    <n v="2"/>
    <n v="-2"/>
    <n v="0"/>
    <x v="24"/>
    <n v="0"/>
    <m/>
    <n v="0"/>
    <n v="1"/>
    <n v="316"/>
    <n v="8"/>
    <x v="2"/>
    <n v="1"/>
    <n v="4"/>
    <n v="54"/>
    <n v="3"/>
    <n v="1"/>
    <n v="1"/>
    <n v="3875"/>
    <n v="9983"/>
    <n v="7"/>
    <n v="15"/>
    <n v="3"/>
    <n v="4"/>
    <n v="80"/>
    <n v="1"/>
    <n v="4"/>
    <n v="3"/>
    <n v="2"/>
    <n v="2"/>
    <n v="2"/>
    <n v="2"/>
  </r>
  <r>
    <s v="Yes"/>
    <s v="Travel_Rarely"/>
    <x v="2"/>
    <s v="Ex-Employees"/>
    <x v="1"/>
    <x v="0"/>
    <s v="STAFF-741"/>
    <x v="540"/>
    <x v="0"/>
    <x v="1"/>
    <x v="0"/>
    <s v="Yes"/>
    <s v="Y"/>
    <n v="4"/>
    <n v="-2"/>
    <n v="0"/>
    <x v="14"/>
    <n v="1"/>
    <n v="1"/>
    <n v="1"/>
    <n v="0"/>
    <n v="654"/>
    <n v="1"/>
    <x v="0"/>
    <n v="1"/>
    <n v="1"/>
    <n v="67"/>
    <n v="1"/>
    <n v="1"/>
    <n v="3"/>
    <n v="2216"/>
    <n v="3872"/>
    <n v="7"/>
    <n v="13"/>
    <n v="3"/>
    <n v="4"/>
    <n v="80"/>
    <n v="0"/>
    <n v="10"/>
    <n v="3"/>
    <n v="7"/>
    <n v="7"/>
    <n v="3"/>
    <n v="7"/>
  </r>
  <r>
    <s v="No"/>
    <s v="Non-Travel"/>
    <x v="0"/>
    <s v="Current Employees"/>
    <x v="1"/>
    <x v="0"/>
    <s v="STAFF-742"/>
    <x v="541"/>
    <x v="0"/>
    <x v="7"/>
    <x v="1"/>
    <s v="No"/>
    <s v="Y"/>
    <n v="2"/>
    <n v="-2"/>
    <n v="0"/>
    <x v="9"/>
    <n v="0"/>
    <m/>
    <n v="0"/>
    <n v="1"/>
    <n v="427"/>
    <n v="8"/>
    <x v="3"/>
    <n v="1"/>
    <n v="1"/>
    <n v="63"/>
    <n v="4"/>
    <n v="3"/>
    <n v="3"/>
    <n v="11713"/>
    <n v="20335"/>
    <n v="9"/>
    <n v="14"/>
    <n v="3"/>
    <n v="1"/>
    <n v="80"/>
    <n v="1"/>
    <n v="10"/>
    <n v="3"/>
    <n v="8"/>
    <n v="7"/>
    <n v="0"/>
    <n v="5"/>
  </r>
  <r>
    <s v="No"/>
    <s v="Travel_Rarely"/>
    <x v="0"/>
    <s v="Current Employees"/>
    <x v="1"/>
    <x v="0"/>
    <s v="STAFF-743"/>
    <x v="542"/>
    <x v="0"/>
    <x v="3"/>
    <x v="0"/>
    <s v="Yes"/>
    <s v="Y"/>
    <n v="4"/>
    <n v="-2"/>
    <n v="0"/>
    <x v="8"/>
    <n v="0"/>
    <m/>
    <n v="0"/>
    <n v="1"/>
    <n v="168"/>
    <n v="1"/>
    <x v="3"/>
    <n v="1"/>
    <n v="3"/>
    <n v="81"/>
    <n v="3"/>
    <n v="3"/>
    <n v="3"/>
    <n v="7861"/>
    <n v="15397"/>
    <n v="4"/>
    <n v="14"/>
    <n v="3"/>
    <n v="4"/>
    <n v="80"/>
    <n v="0"/>
    <n v="10"/>
    <n v="4"/>
    <n v="1"/>
    <n v="0"/>
    <n v="0"/>
    <n v="0"/>
  </r>
  <r>
    <s v="No"/>
    <s v="Non-Travel"/>
    <x v="0"/>
    <s v="Current Employees"/>
    <x v="1"/>
    <x v="2"/>
    <s v="STAFF-744"/>
    <x v="543"/>
    <x v="1"/>
    <x v="2"/>
    <x v="0"/>
    <s v="No"/>
    <s v="Y"/>
    <n v="5"/>
    <n v="-2"/>
    <n v="0"/>
    <x v="20"/>
    <n v="0"/>
    <m/>
    <n v="0"/>
    <n v="1"/>
    <n v="381"/>
    <n v="24"/>
    <x v="3"/>
    <n v="1"/>
    <n v="1"/>
    <n v="49"/>
    <n v="1"/>
    <n v="1"/>
    <n v="3"/>
    <n v="3708"/>
    <n v="2104"/>
    <n v="2"/>
    <n v="14"/>
    <n v="3"/>
    <n v="3"/>
    <n v="80"/>
    <n v="0"/>
    <n v="9"/>
    <n v="3"/>
    <n v="5"/>
    <n v="2"/>
    <n v="1"/>
    <n v="4"/>
  </r>
  <r>
    <s v="No"/>
    <s v="Travel_Frequently"/>
    <x v="1"/>
    <s v="Current Employees"/>
    <x v="0"/>
    <x v="2"/>
    <s v="STAFF-746"/>
    <x v="544"/>
    <x v="0"/>
    <x v="0"/>
    <x v="2"/>
    <s v="Yes"/>
    <s v="Y"/>
    <n v="2"/>
    <n v="-2"/>
    <n v="0"/>
    <x v="40"/>
    <n v="0"/>
    <m/>
    <n v="0"/>
    <n v="1"/>
    <n v="217"/>
    <n v="3"/>
    <x v="3"/>
    <n v="1"/>
    <n v="4"/>
    <n v="49"/>
    <n v="3"/>
    <n v="4"/>
    <n v="3"/>
    <n v="13770"/>
    <n v="10225"/>
    <n v="9"/>
    <n v="12"/>
    <n v="3"/>
    <n v="4"/>
    <n v="80"/>
    <n v="2"/>
    <n v="28"/>
    <n v="2"/>
    <n v="22"/>
    <n v="2"/>
    <n v="11"/>
    <n v="13"/>
  </r>
  <r>
    <s v="No"/>
    <s v="Travel_Rarely"/>
    <x v="2"/>
    <s v="Current Employees"/>
    <x v="0"/>
    <x v="3"/>
    <s v="STAFF-747"/>
    <x v="545"/>
    <x v="1"/>
    <x v="0"/>
    <x v="2"/>
    <s v="No"/>
    <s v="Y"/>
    <n v="2"/>
    <n v="-2"/>
    <n v="0"/>
    <x v="7"/>
    <n v="0"/>
    <m/>
    <n v="0"/>
    <n v="1"/>
    <n v="501"/>
    <n v="27"/>
    <x v="4"/>
    <n v="1"/>
    <n v="3"/>
    <n v="99"/>
    <n v="3"/>
    <n v="2"/>
    <n v="1"/>
    <n v="5304"/>
    <n v="25275"/>
    <n v="7"/>
    <n v="23"/>
    <n v="4"/>
    <n v="4"/>
    <n v="80"/>
    <n v="1"/>
    <n v="10"/>
    <n v="2"/>
    <n v="8"/>
    <n v="7"/>
    <n v="7"/>
    <n v="7"/>
  </r>
  <r>
    <s v="No"/>
    <s v="Travel_Rarely"/>
    <x v="2"/>
    <s v="Current Employees"/>
    <x v="0"/>
    <x v="0"/>
    <s v="STAFF-749"/>
    <x v="546"/>
    <x v="1"/>
    <x v="6"/>
    <x v="0"/>
    <s v="No"/>
    <s v="Y"/>
    <n v="6"/>
    <n v="-2"/>
    <n v="0"/>
    <x v="11"/>
    <n v="0"/>
    <m/>
    <n v="0"/>
    <n v="1"/>
    <n v="1396"/>
    <n v="10"/>
    <x v="3"/>
    <n v="1"/>
    <n v="3"/>
    <n v="99"/>
    <n v="3"/>
    <n v="1"/>
    <n v="3"/>
    <n v="2642"/>
    <n v="2755"/>
    <n v="1"/>
    <n v="11"/>
    <n v="3"/>
    <n v="3"/>
    <n v="80"/>
    <n v="0"/>
    <n v="1"/>
    <n v="3"/>
    <n v="1"/>
    <n v="0"/>
    <n v="0"/>
    <n v="0"/>
  </r>
  <r>
    <s v="Yes"/>
    <s v="Travel_Frequently"/>
    <x v="0"/>
    <s v="Ex-Employees"/>
    <x v="1"/>
    <x v="2"/>
    <s v="STAFF-752"/>
    <x v="547"/>
    <x v="1"/>
    <x v="1"/>
    <x v="2"/>
    <s v="Yes"/>
    <s v="Y"/>
    <n v="2"/>
    <n v="-2"/>
    <n v="0"/>
    <x v="19"/>
    <n v="1"/>
    <n v="1"/>
    <n v="1"/>
    <n v="0"/>
    <n v="933"/>
    <n v="19"/>
    <x v="3"/>
    <n v="1"/>
    <n v="3"/>
    <n v="57"/>
    <n v="4"/>
    <n v="1"/>
    <n v="3"/>
    <n v="2759"/>
    <n v="20366"/>
    <n v="6"/>
    <n v="12"/>
    <n v="3"/>
    <n v="4"/>
    <n v="80"/>
    <n v="0"/>
    <n v="7"/>
    <n v="3"/>
    <n v="2"/>
    <n v="2"/>
    <n v="2"/>
    <n v="2"/>
  </r>
  <r>
    <s v="No"/>
    <s v="Travel_Frequently"/>
    <x v="0"/>
    <s v="Current Employees"/>
    <x v="0"/>
    <x v="0"/>
    <s v="STAFF-754"/>
    <x v="548"/>
    <x v="1"/>
    <x v="0"/>
    <x v="1"/>
    <s v="No"/>
    <s v="Y"/>
    <n v="5"/>
    <n v="-2"/>
    <n v="0"/>
    <x v="23"/>
    <n v="0"/>
    <m/>
    <n v="0"/>
    <n v="1"/>
    <n v="775"/>
    <n v="15"/>
    <x v="3"/>
    <n v="1"/>
    <n v="4"/>
    <n v="47"/>
    <n v="2"/>
    <n v="2"/>
    <n v="4"/>
    <n v="6804"/>
    <n v="23683"/>
    <n v="3"/>
    <n v="18"/>
    <n v="3"/>
    <n v="3"/>
    <n v="80"/>
    <n v="1"/>
    <n v="7"/>
    <n v="3"/>
    <n v="2"/>
    <n v="2"/>
    <n v="2"/>
    <n v="2"/>
  </r>
  <r>
    <s v="No"/>
    <s v="Travel_Rarely"/>
    <x v="2"/>
    <s v="Current Employees"/>
    <x v="1"/>
    <x v="2"/>
    <s v="STAFF-757"/>
    <x v="549"/>
    <x v="0"/>
    <x v="4"/>
    <x v="0"/>
    <s v="No"/>
    <s v="Y"/>
    <n v="2"/>
    <n v="-2"/>
    <n v="0"/>
    <x v="13"/>
    <n v="0"/>
    <m/>
    <n v="0"/>
    <n v="1"/>
    <n v="970"/>
    <n v="8"/>
    <x v="0"/>
    <n v="1"/>
    <n v="2"/>
    <n v="96"/>
    <n v="3"/>
    <n v="2"/>
    <n v="3"/>
    <n v="6142"/>
    <n v="7360"/>
    <n v="3"/>
    <n v="11"/>
    <n v="3"/>
    <n v="4"/>
    <n v="80"/>
    <n v="0"/>
    <n v="10"/>
    <n v="3"/>
    <n v="5"/>
    <n v="1"/>
    <n v="4"/>
    <n v="3"/>
  </r>
  <r>
    <s v="No"/>
    <s v="Travel_Rarely"/>
    <x v="4"/>
    <s v="Current Employees"/>
    <x v="1"/>
    <x v="2"/>
    <s v="STAFF-758"/>
    <x v="550"/>
    <x v="1"/>
    <x v="2"/>
    <x v="1"/>
    <s v="No"/>
    <s v="Y"/>
    <n v="2"/>
    <n v="-2"/>
    <n v="0"/>
    <x v="30"/>
    <n v="0"/>
    <m/>
    <n v="0"/>
    <n v="1"/>
    <n v="650"/>
    <n v="9"/>
    <x v="1"/>
    <n v="1"/>
    <n v="2"/>
    <n v="37"/>
    <n v="3"/>
    <n v="1"/>
    <n v="3"/>
    <n v="2500"/>
    <n v="4344"/>
    <n v="1"/>
    <n v="14"/>
    <n v="3"/>
    <n v="4"/>
    <n v="80"/>
    <n v="1"/>
    <n v="5"/>
    <n v="4"/>
    <n v="4"/>
    <n v="3"/>
    <n v="0"/>
    <n v="2"/>
  </r>
  <r>
    <s v="No"/>
    <s v="Travel_Rarely"/>
    <x v="0"/>
    <s v="Current Employees"/>
    <x v="2"/>
    <x v="5"/>
    <s v="STAFF-760"/>
    <x v="551"/>
    <x v="0"/>
    <x v="8"/>
    <x v="1"/>
    <s v="No"/>
    <s v="Y"/>
    <n v="3"/>
    <n v="-2"/>
    <n v="0"/>
    <x v="22"/>
    <n v="0"/>
    <m/>
    <n v="0"/>
    <n v="1"/>
    <n v="141"/>
    <n v="3"/>
    <x v="3"/>
    <n v="1"/>
    <n v="3"/>
    <n v="44"/>
    <n v="4"/>
    <n v="2"/>
    <n v="3"/>
    <n v="6389"/>
    <n v="18767"/>
    <n v="9"/>
    <n v="15"/>
    <n v="3"/>
    <n v="3"/>
    <n v="80"/>
    <n v="1"/>
    <n v="12"/>
    <n v="1"/>
    <n v="8"/>
    <n v="3"/>
    <n v="3"/>
    <n v="6"/>
  </r>
  <r>
    <s v="No"/>
    <s v="Travel_Rarely"/>
    <x v="3"/>
    <s v="Current Employees"/>
    <x v="1"/>
    <x v="2"/>
    <s v="STAFF-762"/>
    <x v="552"/>
    <x v="1"/>
    <x v="4"/>
    <x v="1"/>
    <s v="No"/>
    <s v="Y"/>
    <n v="1"/>
    <n v="-2"/>
    <n v="0"/>
    <x v="29"/>
    <n v="0"/>
    <m/>
    <n v="0"/>
    <n v="1"/>
    <n v="832"/>
    <n v="9"/>
    <x v="3"/>
    <n v="1"/>
    <n v="3"/>
    <n v="81"/>
    <n v="3"/>
    <n v="4"/>
    <n v="4"/>
    <n v="11103"/>
    <n v="20420"/>
    <n v="7"/>
    <n v="11"/>
    <n v="3"/>
    <n v="3"/>
    <n v="80"/>
    <n v="0"/>
    <n v="30"/>
    <n v="2"/>
    <n v="10"/>
    <n v="7"/>
    <n v="1"/>
    <n v="1"/>
  </r>
  <r>
    <s v="No"/>
    <s v="Travel_Rarely"/>
    <x v="0"/>
    <s v="Current Employees"/>
    <x v="1"/>
    <x v="2"/>
    <s v="STAFF-763"/>
    <x v="553"/>
    <x v="0"/>
    <x v="1"/>
    <x v="0"/>
    <s v="Yes"/>
    <s v="Y"/>
    <n v="2"/>
    <n v="-2"/>
    <n v="0"/>
    <x v="32"/>
    <n v="0"/>
    <m/>
    <n v="0"/>
    <n v="1"/>
    <n v="804"/>
    <n v="2"/>
    <x v="1"/>
    <n v="1"/>
    <n v="4"/>
    <n v="86"/>
    <n v="2"/>
    <n v="1"/>
    <n v="4"/>
    <n v="2342"/>
    <n v="22929"/>
    <n v="0"/>
    <n v="20"/>
    <n v="4"/>
    <n v="4"/>
    <n v="80"/>
    <n v="0"/>
    <n v="5"/>
    <n v="2"/>
    <n v="4"/>
    <n v="2"/>
    <n v="2"/>
    <n v="3"/>
  </r>
  <r>
    <s v="No"/>
    <s v="Travel_Rarely"/>
    <x v="2"/>
    <s v="Current Employees"/>
    <x v="1"/>
    <x v="2"/>
    <s v="STAFF-764"/>
    <x v="554"/>
    <x v="0"/>
    <x v="4"/>
    <x v="0"/>
    <s v="No"/>
    <s v="Y"/>
    <n v="2"/>
    <n v="-2"/>
    <n v="0"/>
    <x v="4"/>
    <n v="0"/>
    <m/>
    <n v="0"/>
    <n v="1"/>
    <n v="975"/>
    <n v="7"/>
    <x v="3"/>
    <n v="1"/>
    <n v="4"/>
    <n v="55"/>
    <n v="2"/>
    <n v="2"/>
    <n v="3"/>
    <n v="6811"/>
    <n v="23398"/>
    <n v="8"/>
    <n v="19"/>
    <n v="3"/>
    <n v="1"/>
    <n v="80"/>
    <n v="0"/>
    <n v="9"/>
    <n v="1"/>
    <n v="7"/>
    <n v="6"/>
    <n v="0"/>
    <n v="7"/>
  </r>
  <r>
    <s v="No"/>
    <s v="Travel_Rarely"/>
    <x v="2"/>
    <s v="Current Employees"/>
    <x v="0"/>
    <x v="3"/>
    <s v="STAFF-766"/>
    <x v="555"/>
    <x v="1"/>
    <x v="6"/>
    <x v="2"/>
    <s v="No"/>
    <s v="Y"/>
    <n v="2"/>
    <n v="-2"/>
    <n v="0"/>
    <x v="11"/>
    <n v="0"/>
    <m/>
    <n v="0"/>
    <n v="1"/>
    <n v="1090"/>
    <n v="10"/>
    <x v="3"/>
    <n v="1"/>
    <n v="4"/>
    <n v="83"/>
    <n v="3"/>
    <n v="1"/>
    <n v="2"/>
    <n v="2297"/>
    <n v="17967"/>
    <n v="1"/>
    <n v="14"/>
    <n v="3"/>
    <n v="4"/>
    <n v="80"/>
    <n v="2"/>
    <n v="2"/>
    <n v="3"/>
    <n v="2"/>
    <n v="2"/>
    <n v="2"/>
    <n v="2"/>
  </r>
  <r>
    <s v="No"/>
    <s v="Travel_Rarely"/>
    <x v="1"/>
    <s v="Current Employees"/>
    <x v="1"/>
    <x v="0"/>
    <s v="STAFF-769"/>
    <x v="556"/>
    <x v="1"/>
    <x v="2"/>
    <x v="0"/>
    <s v="No"/>
    <s v="Y"/>
    <n v="4"/>
    <n v="-2"/>
    <n v="0"/>
    <x v="16"/>
    <n v="0"/>
    <m/>
    <n v="0"/>
    <n v="1"/>
    <n v="346"/>
    <n v="6"/>
    <x v="3"/>
    <n v="1"/>
    <n v="4"/>
    <n v="86"/>
    <n v="3"/>
    <n v="2"/>
    <n v="4"/>
    <n v="2450"/>
    <n v="10919"/>
    <n v="2"/>
    <n v="17"/>
    <n v="3"/>
    <n v="4"/>
    <n v="80"/>
    <n v="0"/>
    <n v="19"/>
    <n v="3"/>
    <n v="2"/>
    <n v="2"/>
    <n v="2"/>
    <n v="2"/>
  </r>
  <r>
    <s v="No"/>
    <s v="Non-Travel"/>
    <x v="0"/>
    <s v="Current Employees"/>
    <x v="1"/>
    <x v="0"/>
    <s v="STAFF-771"/>
    <x v="557"/>
    <x v="0"/>
    <x v="4"/>
    <x v="2"/>
    <s v="No"/>
    <s v="Y"/>
    <n v="2"/>
    <n v="-2"/>
    <n v="0"/>
    <x v="10"/>
    <n v="0"/>
    <m/>
    <n v="0"/>
    <n v="1"/>
    <n v="1225"/>
    <n v="2"/>
    <x v="2"/>
    <n v="1"/>
    <n v="4"/>
    <n v="61"/>
    <n v="3"/>
    <n v="2"/>
    <n v="1"/>
    <n v="5093"/>
    <n v="4761"/>
    <n v="2"/>
    <n v="11"/>
    <n v="3"/>
    <n v="1"/>
    <n v="80"/>
    <n v="1"/>
    <n v="16"/>
    <n v="4"/>
    <n v="1"/>
    <n v="0"/>
    <n v="0"/>
    <n v="0"/>
  </r>
  <r>
    <s v="No"/>
    <s v="Travel_Frequently"/>
    <x v="2"/>
    <s v="Current Employees"/>
    <x v="1"/>
    <x v="0"/>
    <s v="STAFF-772"/>
    <x v="558"/>
    <x v="1"/>
    <x v="2"/>
    <x v="1"/>
    <s v="No"/>
    <s v="Y"/>
    <n v="2"/>
    <n v="-2"/>
    <n v="0"/>
    <x v="5"/>
    <n v="0"/>
    <m/>
    <n v="0"/>
    <n v="1"/>
    <n v="430"/>
    <n v="24"/>
    <x v="2"/>
    <n v="1"/>
    <n v="1"/>
    <n v="80"/>
    <n v="3"/>
    <n v="2"/>
    <n v="1"/>
    <n v="5309"/>
    <n v="21146"/>
    <n v="1"/>
    <n v="15"/>
    <n v="3"/>
    <n v="4"/>
    <n v="80"/>
    <n v="2"/>
    <n v="10"/>
    <n v="3"/>
    <n v="10"/>
    <n v="8"/>
    <n v="4"/>
    <n v="7"/>
  </r>
  <r>
    <s v="No"/>
    <s v="Travel_Rarely"/>
    <x v="0"/>
    <s v="Current Employees"/>
    <x v="1"/>
    <x v="2"/>
    <s v="STAFF-773"/>
    <x v="559"/>
    <x v="1"/>
    <x v="1"/>
    <x v="1"/>
    <s v="Yes"/>
    <s v="Y"/>
    <n v="0"/>
    <n v="-2"/>
    <n v="0"/>
    <x v="8"/>
    <n v="0"/>
    <m/>
    <n v="0"/>
    <n v="1"/>
    <n v="268"/>
    <n v="2"/>
    <x v="4"/>
    <n v="1"/>
    <n v="4"/>
    <n v="92"/>
    <n v="3"/>
    <n v="1"/>
    <n v="3"/>
    <n v="3057"/>
    <n v="20471"/>
    <n v="6"/>
    <n v="13"/>
    <n v="3"/>
    <n v="2"/>
    <n v="80"/>
    <n v="1"/>
    <n v="6"/>
    <n v="1"/>
    <n v="1"/>
    <n v="0"/>
    <n v="0"/>
    <n v="1"/>
  </r>
  <r>
    <s v="No"/>
    <s v="Travel_Rarely"/>
    <x v="2"/>
    <s v="Current Employees"/>
    <x v="1"/>
    <x v="0"/>
    <s v="STAFF-775"/>
    <x v="560"/>
    <x v="0"/>
    <x v="3"/>
    <x v="2"/>
    <s v="No"/>
    <s v="Y"/>
    <n v="3"/>
    <n v="-2"/>
    <n v="0"/>
    <x v="13"/>
    <n v="0"/>
    <m/>
    <n v="0"/>
    <n v="1"/>
    <n v="167"/>
    <n v="8"/>
    <x v="4"/>
    <n v="1"/>
    <n v="2"/>
    <n v="32"/>
    <n v="3"/>
    <n v="2"/>
    <n v="1"/>
    <n v="5121"/>
    <n v="4187"/>
    <n v="3"/>
    <n v="14"/>
    <n v="3"/>
    <n v="3"/>
    <n v="80"/>
    <n v="1"/>
    <n v="7"/>
    <n v="3"/>
    <n v="0"/>
    <n v="0"/>
    <n v="0"/>
    <n v="0"/>
  </r>
  <r>
    <s v="No"/>
    <s v="Travel_Rarely"/>
    <x v="1"/>
    <s v="Current Employees"/>
    <x v="0"/>
    <x v="3"/>
    <s v="STAFF-776"/>
    <x v="561"/>
    <x v="1"/>
    <x v="5"/>
    <x v="1"/>
    <s v="No"/>
    <s v="Y"/>
    <n v="3"/>
    <n v="-2"/>
    <n v="0"/>
    <x v="39"/>
    <n v="0"/>
    <m/>
    <n v="0"/>
    <n v="1"/>
    <n v="621"/>
    <n v="3"/>
    <x v="2"/>
    <n v="1"/>
    <n v="3"/>
    <n v="31"/>
    <n v="2"/>
    <n v="4"/>
    <n v="2"/>
    <n v="16856"/>
    <n v="10084"/>
    <n v="1"/>
    <n v="11"/>
    <n v="3"/>
    <n v="1"/>
    <n v="80"/>
    <n v="0"/>
    <n v="34"/>
    <n v="4"/>
    <n v="34"/>
    <n v="6"/>
    <n v="1"/>
    <n v="16"/>
  </r>
  <r>
    <s v="Yes"/>
    <s v="Travel_Rarely"/>
    <x v="2"/>
    <s v="Ex-Employees"/>
    <x v="1"/>
    <x v="1"/>
    <s v="STAFF-780"/>
    <x v="562"/>
    <x v="1"/>
    <x v="1"/>
    <x v="0"/>
    <s v="Yes"/>
    <s v="Y"/>
    <n v="2"/>
    <n v="-2"/>
    <n v="0"/>
    <x v="3"/>
    <n v="1"/>
    <n v="1"/>
    <n v="1"/>
    <n v="0"/>
    <n v="527"/>
    <n v="1"/>
    <x v="2"/>
    <n v="1"/>
    <n v="4"/>
    <n v="63"/>
    <n v="3"/>
    <n v="1"/>
    <n v="4"/>
    <n v="2686"/>
    <n v="5207"/>
    <n v="1"/>
    <n v="13"/>
    <n v="3"/>
    <n v="3"/>
    <n v="80"/>
    <n v="0"/>
    <n v="10"/>
    <n v="2"/>
    <n v="10"/>
    <n v="9"/>
    <n v="7"/>
    <n v="8"/>
  </r>
  <r>
    <s v="No"/>
    <s v="Travel_Rarely"/>
    <x v="2"/>
    <s v="Current Employees"/>
    <x v="0"/>
    <x v="2"/>
    <s v="STAFF-781"/>
    <x v="563"/>
    <x v="0"/>
    <x v="0"/>
    <x v="0"/>
    <s v="No"/>
    <s v="Y"/>
    <n v="5"/>
    <n v="-2"/>
    <n v="0"/>
    <x v="36"/>
    <n v="0"/>
    <m/>
    <n v="0"/>
    <n v="1"/>
    <n v="883"/>
    <n v="26"/>
    <x v="1"/>
    <n v="1"/>
    <n v="3"/>
    <n v="32"/>
    <n v="3"/>
    <n v="2"/>
    <n v="4"/>
    <n v="6180"/>
    <n v="22807"/>
    <n v="1"/>
    <n v="23"/>
    <n v="4"/>
    <n v="2"/>
    <n v="80"/>
    <n v="0"/>
    <n v="6"/>
    <n v="2"/>
    <n v="6"/>
    <n v="5"/>
    <n v="1"/>
    <n v="4"/>
  </r>
  <r>
    <s v="No"/>
    <s v="Travel_Rarely"/>
    <x v="1"/>
    <s v="Current Employees"/>
    <x v="0"/>
    <x v="4"/>
    <s v="STAFF-783"/>
    <x v="564"/>
    <x v="1"/>
    <x v="6"/>
    <x v="0"/>
    <s v="No"/>
    <s v="Y"/>
    <n v="3"/>
    <n v="-2"/>
    <n v="0"/>
    <x v="28"/>
    <n v="0"/>
    <m/>
    <n v="0"/>
    <n v="1"/>
    <n v="954"/>
    <n v="2"/>
    <x v="0"/>
    <n v="1"/>
    <n v="4"/>
    <n v="46"/>
    <n v="1"/>
    <n v="2"/>
    <n v="4"/>
    <n v="6632"/>
    <n v="12388"/>
    <n v="0"/>
    <n v="13"/>
    <n v="3"/>
    <n v="1"/>
    <n v="80"/>
    <n v="0"/>
    <n v="9"/>
    <n v="3"/>
    <n v="8"/>
    <n v="7"/>
    <n v="3"/>
    <n v="1"/>
  </r>
  <r>
    <s v="No"/>
    <s v="Travel_Rarely"/>
    <x v="4"/>
    <s v="Current Employees"/>
    <x v="1"/>
    <x v="2"/>
    <s v="STAFF-784"/>
    <x v="565"/>
    <x v="1"/>
    <x v="1"/>
    <x v="0"/>
    <s v="No"/>
    <s v="Y"/>
    <n v="3"/>
    <n v="-2"/>
    <n v="0"/>
    <x v="30"/>
    <n v="0"/>
    <m/>
    <n v="0"/>
    <n v="1"/>
    <n v="310"/>
    <n v="10"/>
    <x v="1"/>
    <n v="1"/>
    <n v="1"/>
    <n v="79"/>
    <n v="4"/>
    <n v="1"/>
    <n v="3"/>
    <n v="3505"/>
    <n v="19630"/>
    <n v="1"/>
    <n v="18"/>
    <n v="3"/>
    <n v="4"/>
    <n v="80"/>
    <n v="0"/>
    <n v="2"/>
    <n v="3"/>
    <n v="2"/>
    <n v="2"/>
    <n v="0"/>
    <n v="2"/>
  </r>
  <r>
    <s v="Yes"/>
    <s v="Travel_Frequently"/>
    <x v="1"/>
    <s v="Ex-Employees"/>
    <x v="0"/>
    <x v="0"/>
    <s v="STAFF-785"/>
    <x v="566"/>
    <x v="0"/>
    <x v="0"/>
    <x v="0"/>
    <s v="Yes"/>
    <s v="Y"/>
    <n v="2"/>
    <n v="-2"/>
    <n v="0"/>
    <x v="40"/>
    <n v="1"/>
    <n v="1"/>
    <n v="1"/>
    <n v="0"/>
    <n v="719"/>
    <n v="27"/>
    <x v="0"/>
    <n v="1"/>
    <n v="2"/>
    <n v="77"/>
    <n v="4"/>
    <n v="2"/>
    <n v="1"/>
    <n v="6397"/>
    <n v="10339"/>
    <n v="4"/>
    <n v="12"/>
    <n v="3"/>
    <n v="4"/>
    <n v="80"/>
    <n v="0"/>
    <n v="8"/>
    <n v="3"/>
    <n v="5"/>
    <n v="4"/>
    <n v="1"/>
    <n v="3"/>
  </r>
  <r>
    <s v="No"/>
    <s v="Travel_Rarely"/>
    <x v="2"/>
    <s v="Current Employees"/>
    <x v="0"/>
    <x v="1"/>
    <s v="STAFF-786"/>
    <x v="567"/>
    <x v="1"/>
    <x v="0"/>
    <x v="0"/>
    <s v="No"/>
    <s v="Y"/>
    <n v="5"/>
    <n v="-2"/>
    <n v="0"/>
    <x v="13"/>
    <n v="0"/>
    <m/>
    <n v="0"/>
    <n v="1"/>
    <n v="304"/>
    <n v="2"/>
    <x v="3"/>
    <n v="1"/>
    <n v="4"/>
    <n v="60"/>
    <n v="3"/>
    <n v="2"/>
    <n v="4"/>
    <n v="6274"/>
    <n v="18686"/>
    <n v="1"/>
    <n v="22"/>
    <n v="4"/>
    <n v="3"/>
    <n v="80"/>
    <n v="0"/>
    <n v="6"/>
    <n v="3"/>
    <n v="6"/>
    <n v="5"/>
    <n v="1"/>
    <n v="4"/>
  </r>
  <r>
    <s v="Yes"/>
    <s v="Travel_Rarely"/>
    <x v="3"/>
    <s v="Ex-Employees"/>
    <x v="1"/>
    <x v="2"/>
    <s v="STAFF-787"/>
    <x v="568"/>
    <x v="1"/>
    <x v="5"/>
    <x v="1"/>
    <s v="Yes"/>
    <s v="Y"/>
    <n v="2"/>
    <n v="-2"/>
    <n v="0"/>
    <x v="27"/>
    <n v="1"/>
    <n v="1"/>
    <n v="1"/>
    <n v="0"/>
    <n v="725"/>
    <n v="2"/>
    <x v="3"/>
    <n v="1"/>
    <n v="4"/>
    <n v="78"/>
    <n v="3"/>
    <n v="5"/>
    <n v="3"/>
    <n v="19859"/>
    <n v="21199"/>
    <n v="5"/>
    <n v="13"/>
    <n v="3"/>
    <n v="4"/>
    <n v="80"/>
    <n v="1"/>
    <n v="24"/>
    <n v="3"/>
    <n v="5"/>
    <n v="2"/>
    <n v="1"/>
    <n v="4"/>
  </r>
  <r>
    <s v="No"/>
    <s v="Non-Travel"/>
    <x v="0"/>
    <s v="Current Employees"/>
    <x v="0"/>
    <x v="0"/>
    <s v="STAFF-789"/>
    <x v="569"/>
    <x v="1"/>
    <x v="0"/>
    <x v="0"/>
    <s v="No"/>
    <s v="Y"/>
    <n v="1"/>
    <n v="-2"/>
    <n v="0"/>
    <x v="9"/>
    <n v="0"/>
    <m/>
    <n v="0"/>
    <n v="1"/>
    <n v="1434"/>
    <n v="8"/>
    <x v="2"/>
    <n v="1"/>
    <n v="1"/>
    <n v="76"/>
    <n v="2"/>
    <n v="3"/>
    <n v="1"/>
    <n v="7587"/>
    <n v="14229"/>
    <n v="1"/>
    <n v="15"/>
    <n v="3"/>
    <n v="2"/>
    <n v="80"/>
    <n v="0"/>
    <n v="10"/>
    <n v="3"/>
    <n v="10"/>
    <n v="7"/>
    <n v="0"/>
    <n v="9"/>
  </r>
  <r>
    <s v="No"/>
    <s v="Non-Travel"/>
    <x v="1"/>
    <s v="Current Employees"/>
    <x v="1"/>
    <x v="2"/>
    <s v="STAFF-791"/>
    <x v="570"/>
    <x v="1"/>
    <x v="1"/>
    <x v="1"/>
    <s v="No"/>
    <s v="Y"/>
    <n v="3"/>
    <n v="-2"/>
    <n v="0"/>
    <x v="39"/>
    <n v="0"/>
    <m/>
    <n v="0"/>
    <n v="1"/>
    <n v="715"/>
    <n v="19"/>
    <x v="2"/>
    <n v="1"/>
    <n v="4"/>
    <n v="41"/>
    <n v="3"/>
    <n v="1"/>
    <n v="4"/>
    <n v="4258"/>
    <n v="26589"/>
    <n v="0"/>
    <n v="18"/>
    <n v="3"/>
    <n v="1"/>
    <n v="80"/>
    <n v="1"/>
    <n v="5"/>
    <n v="3"/>
    <n v="4"/>
    <n v="3"/>
    <n v="1"/>
    <n v="2"/>
  </r>
  <r>
    <s v="No"/>
    <s v="Travel_Frequently"/>
    <x v="2"/>
    <s v="Current Employees"/>
    <x v="1"/>
    <x v="0"/>
    <s v="STAFF-792"/>
    <x v="571"/>
    <x v="0"/>
    <x v="2"/>
    <x v="2"/>
    <s v="No"/>
    <s v="Y"/>
    <n v="2"/>
    <n v="-2"/>
    <n v="0"/>
    <x v="25"/>
    <n v="0"/>
    <m/>
    <n v="0"/>
    <n v="1"/>
    <n v="575"/>
    <n v="1"/>
    <x v="0"/>
    <n v="1"/>
    <n v="1"/>
    <n v="71"/>
    <n v="1"/>
    <n v="1"/>
    <n v="1"/>
    <n v="4364"/>
    <n v="5288"/>
    <n v="3"/>
    <n v="14"/>
    <n v="3"/>
    <n v="1"/>
    <n v="80"/>
    <n v="1"/>
    <n v="5"/>
    <n v="3"/>
    <n v="2"/>
    <n v="2"/>
    <n v="2"/>
    <n v="0"/>
  </r>
  <r>
    <s v="No"/>
    <s v="Travel_Rarely"/>
    <x v="2"/>
    <s v="Current Employees"/>
    <x v="1"/>
    <x v="2"/>
    <s v="STAFF-793"/>
    <x v="572"/>
    <x v="0"/>
    <x v="4"/>
    <x v="1"/>
    <s v="No"/>
    <s v="Y"/>
    <n v="3"/>
    <n v="-2"/>
    <n v="0"/>
    <x v="11"/>
    <n v="0"/>
    <m/>
    <n v="0"/>
    <n v="1"/>
    <n v="657"/>
    <n v="27"/>
    <x v="3"/>
    <n v="1"/>
    <n v="2"/>
    <n v="66"/>
    <n v="3"/>
    <n v="2"/>
    <n v="3"/>
    <n v="4335"/>
    <n v="25549"/>
    <n v="4"/>
    <n v="12"/>
    <n v="3"/>
    <n v="1"/>
    <n v="80"/>
    <n v="1"/>
    <n v="11"/>
    <n v="2"/>
    <n v="8"/>
    <n v="7"/>
    <n v="1"/>
    <n v="1"/>
  </r>
  <r>
    <s v="Yes"/>
    <s v="Travel_Rarely"/>
    <x v="2"/>
    <s v="Ex-Employees"/>
    <x v="0"/>
    <x v="4"/>
    <s v="STAFF-796"/>
    <x v="573"/>
    <x v="1"/>
    <x v="0"/>
    <x v="0"/>
    <s v="No"/>
    <s v="Y"/>
    <n v="2"/>
    <n v="-2"/>
    <n v="0"/>
    <x v="25"/>
    <n v="1"/>
    <n v="1"/>
    <n v="1"/>
    <n v="0"/>
    <n v="1146"/>
    <n v="8"/>
    <x v="3"/>
    <n v="1"/>
    <n v="4"/>
    <n v="38"/>
    <n v="2"/>
    <n v="2"/>
    <n v="4"/>
    <n v="5326"/>
    <n v="3064"/>
    <n v="6"/>
    <n v="17"/>
    <n v="3"/>
    <n v="3"/>
    <n v="80"/>
    <n v="0"/>
    <n v="6"/>
    <n v="2"/>
    <n v="4"/>
    <n v="3"/>
    <n v="1"/>
    <n v="2"/>
  </r>
  <r>
    <s v="No"/>
    <s v="Travel_Rarely"/>
    <x v="2"/>
    <s v="Current Employees"/>
    <x v="1"/>
    <x v="0"/>
    <s v="STAFF-797"/>
    <x v="574"/>
    <x v="0"/>
    <x v="1"/>
    <x v="0"/>
    <s v="No"/>
    <s v="Y"/>
    <n v="2"/>
    <n v="-2"/>
    <n v="0"/>
    <x v="13"/>
    <n v="0"/>
    <m/>
    <n v="0"/>
    <n v="1"/>
    <n v="182"/>
    <n v="1"/>
    <x v="2"/>
    <n v="1"/>
    <n v="2"/>
    <n v="72"/>
    <n v="4"/>
    <n v="1"/>
    <n v="1"/>
    <n v="3280"/>
    <n v="13551"/>
    <n v="2"/>
    <n v="16"/>
    <n v="3"/>
    <n v="3"/>
    <n v="80"/>
    <n v="0"/>
    <n v="10"/>
    <n v="3"/>
    <n v="4"/>
    <n v="2"/>
    <n v="1"/>
    <n v="3"/>
  </r>
  <r>
    <s v="No"/>
    <s v="Travel_Rarely"/>
    <x v="1"/>
    <s v="Current Employees"/>
    <x v="1"/>
    <x v="2"/>
    <s v="STAFF-799"/>
    <x v="575"/>
    <x v="0"/>
    <x v="3"/>
    <x v="2"/>
    <s v="Yes"/>
    <s v="Y"/>
    <n v="4"/>
    <n v="-2"/>
    <n v="0"/>
    <x v="33"/>
    <n v="0"/>
    <m/>
    <n v="0"/>
    <n v="1"/>
    <n v="376"/>
    <n v="19"/>
    <x v="2"/>
    <n v="1"/>
    <n v="4"/>
    <n v="95"/>
    <n v="3"/>
    <n v="2"/>
    <n v="3"/>
    <n v="5485"/>
    <n v="22670"/>
    <n v="9"/>
    <n v="11"/>
    <n v="3"/>
    <n v="2"/>
    <n v="80"/>
    <n v="2"/>
    <n v="9"/>
    <n v="3"/>
    <n v="5"/>
    <n v="3"/>
    <n v="1"/>
    <n v="4"/>
  </r>
  <r>
    <s v="No"/>
    <s v="Travel_Frequently"/>
    <x v="2"/>
    <s v="Current Employees"/>
    <x v="0"/>
    <x v="3"/>
    <s v="STAFF-800"/>
    <x v="576"/>
    <x v="1"/>
    <x v="0"/>
    <x v="1"/>
    <s v="No"/>
    <s v="Y"/>
    <n v="3"/>
    <n v="-2"/>
    <n v="0"/>
    <x v="4"/>
    <n v="0"/>
    <m/>
    <n v="0"/>
    <n v="1"/>
    <n v="829"/>
    <n v="8"/>
    <x v="1"/>
    <n v="1"/>
    <n v="3"/>
    <n v="84"/>
    <n v="3"/>
    <n v="2"/>
    <n v="2"/>
    <n v="4342"/>
    <n v="24008"/>
    <n v="0"/>
    <n v="19"/>
    <n v="3"/>
    <n v="2"/>
    <n v="80"/>
    <n v="1"/>
    <n v="5"/>
    <n v="3"/>
    <n v="4"/>
    <n v="2"/>
    <n v="1"/>
    <n v="1"/>
  </r>
  <r>
    <s v="No"/>
    <s v="Travel_Rarely"/>
    <x v="0"/>
    <s v="Current Employees"/>
    <x v="1"/>
    <x v="0"/>
    <s v="STAFF-802"/>
    <x v="577"/>
    <x v="0"/>
    <x v="1"/>
    <x v="2"/>
    <s v="Yes"/>
    <s v="Y"/>
    <n v="3"/>
    <n v="-2"/>
    <n v="0"/>
    <x v="2"/>
    <n v="0"/>
    <m/>
    <n v="0"/>
    <n v="1"/>
    <n v="571"/>
    <n v="10"/>
    <x v="1"/>
    <n v="1"/>
    <n v="4"/>
    <n v="82"/>
    <n v="3"/>
    <n v="1"/>
    <n v="1"/>
    <n v="2782"/>
    <n v="19905"/>
    <n v="0"/>
    <n v="13"/>
    <n v="3"/>
    <n v="2"/>
    <n v="80"/>
    <n v="2"/>
    <n v="6"/>
    <n v="2"/>
    <n v="5"/>
    <n v="3"/>
    <n v="4"/>
    <n v="3"/>
  </r>
  <r>
    <s v="No"/>
    <s v="Travel_Frequently"/>
    <x v="0"/>
    <s v="Current Employees"/>
    <x v="1"/>
    <x v="0"/>
    <s v="STAFF-803"/>
    <x v="578"/>
    <x v="0"/>
    <x v="3"/>
    <x v="0"/>
    <s v="Yes"/>
    <s v="Y"/>
    <n v="2"/>
    <n v="-2"/>
    <n v="0"/>
    <x v="8"/>
    <n v="0"/>
    <m/>
    <n v="0"/>
    <n v="1"/>
    <n v="240"/>
    <n v="2"/>
    <x v="2"/>
    <n v="1"/>
    <n v="1"/>
    <n v="75"/>
    <n v="4"/>
    <n v="2"/>
    <n v="1"/>
    <n v="5980"/>
    <n v="26085"/>
    <n v="6"/>
    <n v="12"/>
    <n v="3"/>
    <n v="4"/>
    <n v="80"/>
    <n v="0"/>
    <n v="17"/>
    <n v="3"/>
    <n v="15"/>
    <n v="7"/>
    <n v="4"/>
    <n v="12"/>
  </r>
  <r>
    <s v="No"/>
    <s v="Travel_Rarely"/>
    <x v="2"/>
    <s v="Current Employees"/>
    <x v="1"/>
    <x v="2"/>
    <s v="STAFF-804"/>
    <x v="579"/>
    <x v="0"/>
    <x v="1"/>
    <x v="0"/>
    <s v="No"/>
    <s v="Y"/>
    <n v="3"/>
    <n v="-2"/>
    <n v="0"/>
    <x v="13"/>
    <n v="0"/>
    <m/>
    <n v="0"/>
    <n v="1"/>
    <n v="121"/>
    <n v="2"/>
    <x v="2"/>
    <n v="1"/>
    <n v="3"/>
    <n v="86"/>
    <n v="2"/>
    <n v="1"/>
    <n v="3"/>
    <n v="4381"/>
    <n v="7530"/>
    <n v="1"/>
    <n v="11"/>
    <n v="3"/>
    <n v="3"/>
    <n v="80"/>
    <n v="0"/>
    <n v="6"/>
    <n v="3"/>
    <n v="6"/>
    <n v="5"/>
    <n v="1"/>
    <n v="3"/>
  </r>
  <r>
    <s v="No"/>
    <s v="Travel_Rarely"/>
    <x v="0"/>
    <s v="Current Employees"/>
    <x v="0"/>
    <x v="0"/>
    <s v="STAFF-805"/>
    <x v="580"/>
    <x v="0"/>
    <x v="6"/>
    <x v="1"/>
    <s v="No"/>
    <s v="Y"/>
    <n v="1"/>
    <n v="-2"/>
    <n v="0"/>
    <x v="10"/>
    <n v="0"/>
    <m/>
    <n v="0"/>
    <n v="1"/>
    <n v="384"/>
    <n v="8"/>
    <x v="2"/>
    <n v="1"/>
    <n v="1"/>
    <n v="72"/>
    <n v="3"/>
    <n v="1"/>
    <n v="1"/>
    <n v="2572"/>
    <n v="20317"/>
    <n v="1"/>
    <n v="16"/>
    <n v="3"/>
    <n v="2"/>
    <n v="80"/>
    <n v="1"/>
    <n v="3"/>
    <n v="2"/>
    <n v="3"/>
    <n v="2"/>
    <n v="0"/>
    <n v="2"/>
  </r>
  <r>
    <s v="No"/>
    <s v="Travel_Rarely"/>
    <x v="2"/>
    <s v="Current Employees"/>
    <x v="1"/>
    <x v="0"/>
    <s v="STAFF-806"/>
    <x v="581"/>
    <x v="1"/>
    <x v="2"/>
    <x v="1"/>
    <s v="No"/>
    <s v="Y"/>
    <n v="2"/>
    <n v="-2"/>
    <n v="0"/>
    <x v="7"/>
    <n v="0"/>
    <m/>
    <n v="0"/>
    <n v="1"/>
    <n v="921"/>
    <n v="1"/>
    <x v="3"/>
    <n v="1"/>
    <n v="4"/>
    <n v="38"/>
    <n v="1"/>
    <n v="1"/>
    <n v="1"/>
    <n v="3833"/>
    <n v="24375"/>
    <n v="3"/>
    <n v="21"/>
    <n v="4"/>
    <n v="3"/>
    <n v="80"/>
    <n v="2"/>
    <n v="7"/>
    <n v="3"/>
    <n v="2"/>
    <n v="2"/>
    <n v="0"/>
    <n v="2"/>
  </r>
  <r>
    <s v="No"/>
    <s v="Travel_Frequently"/>
    <x v="0"/>
    <s v="Current Employees"/>
    <x v="1"/>
    <x v="2"/>
    <s v="STAFF-807"/>
    <x v="582"/>
    <x v="0"/>
    <x v="4"/>
    <x v="1"/>
    <s v="No"/>
    <s v="Y"/>
    <n v="2"/>
    <n v="-2"/>
    <n v="0"/>
    <x v="32"/>
    <n v="0"/>
    <m/>
    <n v="0"/>
    <n v="1"/>
    <n v="791"/>
    <n v="2"/>
    <x v="0"/>
    <n v="1"/>
    <n v="3"/>
    <n v="38"/>
    <n v="4"/>
    <n v="2"/>
    <n v="3"/>
    <n v="4244"/>
    <n v="9931"/>
    <n v="1"/>
    <n v="24"/>
    <n v="4"/>
    <n v="4"/>
    <n v="80"/>
    <n v="1"/>
    <n v="8"/>
    <n v="3"/>
    <n v="8"/>
    <n v="7"/>
    <n v="3"/>
    <n v="7"/>
  </r>
  <r>
    <s v="No"/>
    <s v="Travel_Rarely"/>
    <x v="2"/>
    <s v="Current Employees"/>
    <x v="0"/>
    <x v="0"/>
    <s v="STAFF-808"/>
    <x v="583"/>
    <x v="0"/>
    <x v="0"/>
    <x v="1"/>
    <s v="No"/>
    <s v="Y"/>
    <n v="1"/>
    <n v="-2"/>
    <n v="0"/>
    <x v="13"/>
    <n v="0"/>
    <m/>
    <n v="0"/>
    <n v="1"/>
    <n v="1111"/>
    <n v="8"/>
    <x v="0"/>
    <n v="1"/>
    <n v="3"/>
    <n v="93"/>
    <n v="3"/>
    <n v="2"/>
    <n v="1"/>
    <n v="6500"/>
    <n v="13305"/>
    <n v="5"/>
    <n v="17"/>
    <n v="3"/>
    <n v="2"/>
    <n v="80"/>
    <n v="1"/>
    <n v="6"/>
    <n v="3"/>
    <n v="3"/>
    <n v="2"/>
    <n v="1"/>
    <n v="2"/>
  </r>
  <r>
    <s v="No"/>
    <s v="Travel_Frequently"/>
    <x v="0"/>
    <s v="Current Employees"/>
    <x v="1"/>
    <x v="0"/>
    <s v="STAFF-809"/>
    <x v="584"/>
    <x v="1"/>
    <x v="5"/>
    <x v="2"/>
    <s v="No"/>
    <s v="Y"/>
    <n v="4"/>
    <n v="-2"/>
    <n v="0"/>
    <x v="19"/>
    <n v="0"/>
    <m/>
    <n v="0"/>
    <n v="1"/>
    <n v="570"/>
    <n v="8"/>
    <x v="3"/>
    <n v="1"/>
    <n v="2"/>
    <n v="66"/>
    <n v="3"/>
    <n v="5"/>
    <n v="1"/>
    <n v="18430"/>
    <n v="16225"/>
    <n v="1"/>
    <n v="13"/>
    <n v="3"/>
    <n v="2"/>
    <n v="80"/>
    <n v="1"/>
    <n v="24"/>
    <n v="2"/>
    <n v="24"/>
    <n v="7"/>
    <n v="14"/>
    <n v="9"/>
  </r>
  <r>
    <s v="Yes"/>
    <s v="Travel_Rarely"/>
    <x v="4"/>
    <s v="Ex-Employees"/>
    <x v="1"/>
    <x v="0"/>
    <s v="STAFF-811"/>
    <x v="585"/>
    <x v="1"/>
    <x v="2"/>
    <x v="1"/>
    <s v="Yes"/>
    <s v="Y"/>
    <n v="2"/>
    <n v="-2"/>
    <n v="0"/>
    <x v="30"/>
    <n v="1"/>
    <n v="1"/>
    <n v="1"/>
    <n v="0"/>
    <n v="1243"/>
    <n v="6"/>
    <x v="3"/>
    <n v="1"/>
    <n v="3"/>
    <n v="63"/>
    <n v="4"/>
    <n v="1"/>
    <n v="1"/>
    <n v="1601"/>
    <n v="3445"/>
    <n v="1"/>
    <n v="21"/>
    <n v="4"/>
    <n v="3"/>
    <n v="80"/>
    <n v="2"/>
    <n v="1"/>
    <n v="3"/>
    <n v="0"/>
    <n v="0"/>
    <n v="0"/>
    <n v="0"/>
  </r>
  <r>
    <s v="No"/>
    <s v="Non-Travel"/>
    <x v="4"/>
    <s v="Current Employees"/>
    <x v="1"/>
    <x v="0"/>
    <s v="STAFF-812"/>
    <x v="586"/>
    <x v="1"/>
    <x v="2"/>
    <x v="2"/>
    <s v="No"/>
    <s v="Y"/>
    <n v="4"/>
    <n v="-2"/>
    <n v="0"/>
    <x v="17"/>
    <n v="0"/>
    <m/>
    <n v="0"/>
    <n v="1"/>
    <n v="1092"/>
    <n v="9"/>
    <x v="3"/>
    <n v="1"/>
    <n v="3"/>
    <n v="60"/>
    <n v="2"/>
    <n v="1"/>
    <n v="1"/>
    <n v="2694"/>
    <n v="26551"/>
    <n v="1"/>
    <n v="11"/>
    <n v="3"/>
    <n v="3"/>
    <n v="80"/>
    <n v="3"/>
    <n v="1"/>
    <n v="3"/>
    <n v="1"/>
    <n v="0"/>
    <n v="0"/>
    <n v="0"/>
  </r>
  <r>
    <s v="No"/>
    <s v="Travel_Rarely"/>
    <x v="1"/>
    <s v="Current Employees"/>
    <x v="1"/>
    <x v="0"/>
    <s v="STAFF-813"/>
    <x v="587"/>
    <x v="0"/>
    <x v="2"/>
    <x v="1"/>
    <s v="No"/>
    <s v="Y"/>
    <n v="3"/>
    <n v="-2"/>
    <n v="0"/>
    <x v="39"/>
    <n v="0"/>
    <m/>
    <n v="0"/>
    <n v="1"/>
    <n v="1325"/>
    <n v="11"/>
    <x v="2"/>
    <n v="1"/>
    <n v="4"/>
    <n v="82"/>
    <n v="3"/>
    <n v="2"/>
    <n v="1"/>
    <n v="3149"/>
    <n v="21821"/>
    <n v="8"/>
    <n v="20"/>
    <n v="4"/>
    <n v="2"/>
    <n v="80"/>
    <n v="1"/>
    <n v="9"/>
    <n v="3"/>
    <n v="5"/>
    <n v="2"/>
    <n v="1"/>
    <n v="4"/>
  </r>
  <r>
    <s v="No"/>
    <s v="Travel_Rarely"/>
    <x v="1"/>
    <s v="Current Employees"/>
    <x v="1"/>
    <x v="2"/>
    <s v="STAFF-815"/>
    <x v="588"/>
    <x v="1"/>
    <x v="7"/>
    <x v="1"/>
    <s v="No"/>
    <s v="Y"/>
    <n v="3"/>
    <n v="-2"/>
    <n v="0"/>
    <x v="24"/>
    <n v="0"/>
    <m/>
    <n v="0"/>
    <n v="1"/>
    <n v="691"/>
    <n v="2"/>
    <x v="3"/>
    <n v="1"/>
    <n v="3"/>
    <n v="64"/>
    <n v="3"/>
    <n v="4"/>
    <n v="3"/>
    <n v="17639"/>
    <n v="6881"/>
    <n v="5"/>
    <n v="16"/>
    <n v="3"/>
    <n v="4"/>
    <n v="80"/>
    <n v="0"/>
    <n v="30"/>
    <n v="3"/>
    <n v="4"/>
    <n v="3"/>
    <n v="0"/>
    <n v="3"/>
  </r>
  <r>
    <s v="Yes"/>
    <s v="Travel_Rarely"/>
    <x v="2"/>
    <s v="Ex-Employees"/>
    <x v="1"/>
    <x v="0"/>
    <s v="STAFF-816"/>
    <x v="589"/>
    <x v="0"/>
    <x v="2"/>
    <x v="1"/>
    <s v="Yes"/>
    <s v="Y"/>
    <n v="1"/>
    <n v="-2"/>
    <n v="0"/>
    <x v="11"/>
    <n v="1"/>
    <n v="1"/>
    <n v="1"/>
    <n v="0"/>
    <n v="805"/>
    <n v="1"/>
    <x v="0"/>
    <n v="1"/>
    <n v="2"/>
    <n v="36"/>
    <n v="2"/>
    <n v="1"/>
    <n v="1"/>
    <n v="2319"/>
    <n v="6689"/>
    <n v="1"/>
    <n v="11"/>
    <n v="3"/>
    <n v="4"/>
    <n v="80"/>
    <n v="1"/>
    <n v="1"/>
    <n v="3"/>
    <n v="1"/>
    <n v="0"/>
    <n v="0"/>
    <n v="0"/>
  </r>
  <r>
    <s v="No"/>
    <s v="Travel_Rarely"/>
    <x v="2"/>
    <s v="Current Employees"/>
    <x v="1"/>
    <x v="2"/>
    <s v="STAFF-817"/>
    <x v="590"/>
    <x v="1"/>
    <x v="7"/>
    <x v="1"/>
    <s v="No"/>
    <s v="Y"/>
    <n v="3"/>
    <n v="-2"/>
    <n v="0"/>
    <x v="3"/>
    <n v="0"/>
    <m/>
    <n v="0"/>
    <n v="1"/>
    <n v="213"/>
    <n v="7"/>
    <x v="3"/>
    <n v="1"/>
    <n v="3"/>
    <n v="49"/>
    <n v="3"/>
    <n v="3"/>
    <n v="3"/>
    <n v="11691"/>
    <n v="25995"/>
    <n v="0"/>
    <n v="11"/>
    <n v="3"/>
    <n v="4"/>
    <n v="80"/>
    <n v="0"/>
    <n v="14"/>
    <n v="4"/>
    <n v="13"/>
    <n v="9"/>
    <n v="3"/>
    <n v="7"/>
  </r>
  <r>
    <s v="Yes"/>
    <s v="Travel_Rarely"/>
    <x v="2"/>
    <s v="Ex-Employees"/>
    <x v="0"/>
    <x v="3"/>
    <s v="STAFF-819"/>
    <x v="591"/>
    <x v="0"/>
    <x v="0"/>
    <x v="0"/>
    <s v="No"/>
    <s v="Y"/>
    <n v="3"/>
    <n v="-2"/>
    <n v="0"/>
    <x v="3"/>
    <n v="1"/>
    <n v="1"/>
    <n v="1"/>
    <n v="0"/>
    <n v="118"/>
    <n v="16"/>
    <x v="3"/>
    <n v="1"/>
    <n v="1"/>
    <n v="69"/>
    <n v="3"/>
    <n v="2"/>
    <n v="2"/>
    <n v="5324"/>
    <n v="26507"/>
    <n v="5"/>
    <n v="15"/>
    <n v="3"/>
    <n v="3"/>
    <n v="80"/>
    <n v="0"/>
    <n v="6"/>
    <n v="3"/>
    <n v="3"/>
    <n v="2"/>
    <n v="0"/>
    <n v="2"/>
  </r>
  <r>
    <s v="No"/>
    <s v="Travel_Rarely"/>
    <x v="1"/>
    <s v="Current Employees"/>
    <x v="1"/>
    <x v="1"/>
    <s v="STAFF-820"/>
    <x v="592"/>
    <x v="0"/>
    <x v="5"/>
    <x v="1"/>
    <s v="Yes"/>
    <s v="Y"/>
    <n v="3"/>
    <n v="-2"/>
    <n v="0"/>
    <x v="40"/>
    <n v="0"/>
    <m/>
    <n v="0"/>
    <n v="1"/>
    <n v="202"/>
    <n v="2"/>
    <x v="0"/>
    <n v="1"/>
    <n v="3"/>
    <n v="33"/>
    <n v="3"/>
    <n v="4"/>
    <n v="4"/>
    <n v="16752"/>
    <n v="12982"/>
    <n v="1"/>
    <n v="11"/>
    <n v="3"/>
    <n v="3"/>
    <n v="80"/>
    <n v="1"/>
    <n v="26"/>
    <n v="2"/>
    <n v="26"/>
    <n v="14"/>
    <n v="3"/>
    <n v="0"/>
  </r>
  <r>
    <s v="No"/>
    <s v="Travel_Rarely"/>
    <x v="0"/>
    <s v="Current Employees"/>
    <x v="1"/>
    <x v="1"/>
    <s v="STAFF-823"/>
    <x v="593"/>
    <x v="0"/>
    <x v="3"/>
    <x v="1"/>
    <s v="No"/>
    <s v="Y"/>
    <n v="2"/>
    <n v="-2"/>
    <n v="0"/>
    <x v="9"/>
    <n v="0"/>
    <m/>
    <n v="0"/>
    <n v="1"/>
    <n v="676"/>
    <n v="1"/>
    <x v="3"/>
    <n v="1"/>
    <n v="3"/>
    <n v="35"/>
    <n v="3"/>
    <n v="2"/>
    <n v="3"/>
    <n v="5228"/>
    <n v="23361"/>
    <n v="0"/>
    <n v="15"/>
    <n v="3"/>
    <n v="1"/>
    <n v="80"/>
    <n v="1"/>
    <n v="10"/>
    <n v="3"/>
    <n v="9"/>
    <n v="7"/>
    <n v="0"/>
    <n v="5"/>
  </r>
  <r>
    <s v="No"/>
    <s v="Travel_Rarely"/>
    <x v="2"/>
    <s v="Current Employees"/>
    <x v="1"/>
    <x v="0"/>
    <s v="STAFF-824"/>
    <x v="594"/>
    <x v="1"/>
    <x v="1"/>
    <x v="1"/>
    <s v="No"/>
    <s v="Y"/>
    <n v="3"/>
    <n v="-2"/>
    <n v="0"/>
    <x v="11"/>
    <n v="0"/>
    <m/>
    <n v="0"/>
    <n v="1"/>
    <n v="1252"/>
    <n v="23"/>
    <x v="0"/>
    <n v="1"/>
    <n v="3"/>
    <n v="81"/>
    <n v="4"/>
    <n v="1"/>
    <n v="1"/>
    <n v="2700"/>
    <n v="23779"/>
    <n v="1"/>
    <n v="24"/>
    <n v="4"/>
    <n v="3"/>
    <n v="80"/>
    <n v="1"/>
    <n v="10"/>
    <n v="3"/>
    <n v="10"/>
    <n v="7"/>
    <n v="0"/>
    <n v="7"/>
  </r>
  <r>
    <s v="Yes"/>
    <s v="Travel_Rarely"/>
    <x v="3"/>
    <s v="Ex-Employees"/>
    <x v="1"/>
    <x v="0"/>
    <s v="STAFF-825"/>
    <x v="595"/>
    <x v="1"/>
    <x v="7"/>
    <x v="0"/>
    <s v="Yes"/>
    <s v="Y"/>
    <n v="2"/>
    <n v="-2"/>
    <n v="0"/>
    <x v="34"/>
    <n v="1"/>
    <n v="1"/>
    <n v="1"/>
    <n v="0"/>
    <n v="286"/>
    <n v="2"/>
    <x v="2"/>
    <n v="1"/>
    <n v="4"/>
    <n v="31"/>
    <n v="3"/>
    <n v="5"/>
    <n v="1"/>
    <n v="19246"/>
    <n v="25761"/>
    <n v="7"/>
    <n v="12"/>
    <n v="3"/>
    <n v="4"/>
    <n v="80"/>
    <n v="0"/>
    <n v="40"/>
    <n v="3"/>
    <n v="31"/>
    <n v="15"/>
    <n v="13"/>
    <n v="8"/>
  </r>
  <r>
    <s v="No"/>
    <s v="Travel_Rarely"/>
    <x v="0"/>
    <s v="Current Employees"/>
    <x v="1"/>
    <x v="0"/>
    <s v="STAFF-826"/>
    <x v="596"/>
    <x v="0"/>
    <x v="1"/>
    <x v="0"/>
    <s v="No"/>
    <s v="Y"/>
    <n v="0"/>
    <n v="-2"/>
    <n v="0"/>
    <x v="10"/>
    <n v="0"/>
    <m/>
    <n v="0"/>
    <n v="1"/>
    <n v="1258"/>
    <n v="1"/>
    <x v="2"/>
    <n v="1"/>
    <n v="4"/>
    <n v="40"/>
    <n v="4"/>
    <n v="1"/>
    <n v="1"/>
    <n v="2506"/>
    <n v="13301"/>
    <n v="3"/>
    <n v="13"/>
    <n v="3"/>
    <n v="3"/>
    <n v="80"/>
    <n v="0"/>
    <n v="7"/>
    <n v="3"/>
    <n v="2"/>
    <n v="2"/>
    <n v="2"/>
    <n v="2"/>
  </r>
  <r>
    <s v="No"/>
    <s v="Travel_Rarely"/>
    <x v="0"/>
    <s v="Current Employees"/>
    <x v="1"/>
    <x v="0"/>
    <s v="STAFF-827"/>
    <x v="597"/>
    <x v="0"/>
    <x v="3"/>
    <x v="1"/>
    <s v="Yes"/>
    <s v="Y"/>
    <n v="4"/>
    <n v="-2"/>
    <n v="0"/>
    <x v="19"/>
    <n v="0"/>
    <m/>
    <n v="0"/>
    <n v="1"/>
    <n v="932"/>
    <n v="1"/>
    <x v="0"/>
    <n v="1"/>
    <n v="4"/>
    <n v="43"/>
    <n v="2"/>
    <n v="2"/>
    <n v="1"/>
    <n v="6062"/>
    <n v="4051"/>
    <n v="9"/>
    <n v="13"/>
    <n v="3"/>
    <n v="4"/>
    <n v="80"/>
    <n v="1"/>
    <n v="8"/>
    <n v="3"/>
    <n v="4"/>
    <n v="3"/>
    <n v="0"/>
    <n v="2"/>
  </r>
  <r>
    <s v="Yes"/>
    <s v="Travel_Rarely"/>
    <x v="2"/>
    <s v="Ex-Employees"/>
    <x v="1"/>
    <x v="2"/>
    <s v="STAFF-828"/>
    <x v="598"/>
    <x v="1"/>
    <x v="1"/>
    <x v="0"/>
    <s v="No"/>
    <s v="Y"/>
    <n v="3"/>
    <n v="-2"/>
    <n v="0"/>
    <x v="14"/>
    <n v="1"/>
    <n v="1"/>
    <n v="1"/>
    <n v="0"/>
    <n v="890"/>
    <n v="2"/>
    <x v="2"/>
    <n v="1"/>
    <n v="3"/>
    <n v="46"/>
    <n v="3"/>
    <n v="1"/>
    <n v="3"/>
    <n v="4382"/>
    <n v="16374"/>
    <n v="6"/>
    <n v="17"/>
    <n v="3"/>
    <n v="4"/>
    <n v="80"/>
    <n v="0"/>
    <n v="5"/>
    <n v="2"/>
    <n v="2"/>
    <n v="2"/>
    <n v="2"/>
    <n v="1"/>
  </r>
  <r>
    <s v="No"/>
    <s v="Travel_Rarely"/>
    <x v="0"/>
    <s v="Current Employees"/>
    <x v="2"/>
    <x v="5"/>
    <s v="STAFF-829"/>
    <x v="599"/>
    <x v="1"/>
    <x v="8"/>
    <x v="1"/>
    <s v="No"/>
    <s v="Y"/>
    <n v="2"/>
    <n v="-2"/>
    <n v="0"/>
    <x v="9"/>
    <n v="0"/>
    <m/>
    <n v="0"/>
    <n v="1"/>
    <n v="1041"/>
    <n v="13"/>
    <x v="3"/>
    <n v="1"/>
    <n v="3"/>
    <n v="36"/>
    <n v="3"/>
    <n v="1"/>
    <n v="3"/>
    <n v="2143"/>
    <n v="25527"/>
    <n v="4"/>
    <n v="13"/>
    <n v="3"/>
    <n v="2"/>
    <n v="80"/>
    <n v="1"/>
    <n v="8"/>
    <n v="3"/>
    <n v="5"/>
    <n v="2"/>
    <n v="0"/>
    <n v="4"/>
  </r>
  <r>
    <s v="No"/>
    <s v="Travel_Rarely"/>
    <x v="2"/>
    <s v="Current Employees"/>
    <x v="1"/>
    <x v="0"/>
    <s v="STAFF-830"/>
    <x v="600"/>
    <x v="0"/>
    <x v="3"/>
    <x v="1"/>
    <s v="No"/>
    <s v="Y"/>
    <n v="3"/>
    <n v="-2"/>
    <n v="0"/>
    <x v="5"/>
    <n v="0"/>
    <m/>
    <n v="0"/>
    <n v="1"/>
    <n v="859"/>
    <n v="4"/>
    <x v="3"/>
    <n v="1"/>
    <n v="3"/>
    <n v="98"/>
    <n v="2"/>
    <n v="2"/>
    <n v="1"/>
    <n v="6162"/>
    <n v="19124"/>
    <n v="1"/>
    <n v="12"/>
    <n v="3"/>
    <n v="3"/>
    <n v="80"/>
    <n v="1"/>
    <n v="14"/>
    <n v="3"/>
    <n v="14"/>
    <n v="13"/>
    <n v="6"/>
    <n v="8"/>
  </r>
  <r>
    <s v="No"/>
    <s v="Travel_Frequently"/>
    <x v="0"/>
    <s v="Current Employees"/>
    <x v="1"/>
    <x v="2"/>
    <s v="STAFF-832"/>
    <x v="601"/>
    <x v="1"/>
    <x v="2"/>
    <x v="0"/>
    <s v="No"/>
    <s v="Y"/>
    <n v="6"/>
    <n v="-2"/>
    <n v="0"/>
    <x v="32"/>
    <n v="0"/>
    <m/>
    <n v="0"/>
    <n v="1"/>
    <n v="720"/>
    <n v="16"/>
    <x v="2"/>
    <n v="1"/>
    <n v="1"/>
    <n v="51"/>
    <n v="2"/>
    <n v="2"/>
    <n v="3"/>
    <n v="5094"/>
    <n v="11983"/>
    <n v="6"/>
    <n v="14"/>
    <n v="3"/>
    <n v="4"/>
    <n v="80"/>
    <n v="0"/>
    <n v="10"/>
    <n v="3"/>
    <n v="1"/>
    <n v="0"/>
    <n v="0"/>
    <n v="0"/>
  </r>
  <r>
    <s v="No"/>
    <s v="Travel_Rarely"/>
    <x v="2"/>
    <s v="Current Employees"/>
    <x v="1"/>
    <x v="2"/>
    <s v="STAFF-833"/>
    <x v="602"/>
    <x v="0"/>
    <x v="3"/>
    <x v="0"/>
    <s v="Yes"/>
    <s v="Y"/>
    <n v="4"/>
    <n v="-2"/>
    <n v="0"/>
    <x v="7"/>
    <n v="0"/>
    <m/>
    <n v="0"/>
    <n v="1"/>
    <n v="946"/>
    <n v="2"/>
    <x v="3"/>
    <n v="1"/>
    <n v="3"/>
    <n v="52"/>
    <n v="2"/>
    <n v="2"/>
    <n v="4"/>
    <n v="6877"/>
    <n v="20234"/>
    <n v="5"/>
    <n v="24"/>
    <n v="4"/>
    <n v="2"/>
    <n v="80"/>
    <n v="0"/>
    <n v="12"/>
    <n v="2"/>
    <n v="0"/>
    <n v="0"/>
    <n v="0"/>
    <n v="0"/>
  </r>
  <r>
    <s v="No"/>
    <s v="Travel_Rarely"/>
    <x v="1"/>
    <s v="Current Employees"/>
    <x v="1"/>
    <x v="0"/>
    <s v="STAFF-834"/>
    <x v="603"/>
    <x v="0"/>
    <x v="1"/>
    <x v="0"/>
    <s v="No"/>
    <s v="Y"/>
    <n v="3"/>
    <n v="-2"/>
    <n v="0"/>
    <x v="28"/>
    <n v="0"/>
    <m/>
    <n v="0"/>
    <n v="1"/>
    <n v="252"/>
    <n v="2"/>
    <x v="3"/>
    <n v="1"/>
    <n v="2"/>
    <n v="95"/>
    <n v="2"/>
    <n v="1"/>
    <n v="1"/>
    <n v="2274"/>
    <n v="6153"/>
    <n v="1"/>
    <n v="14"/>
    <n v="3"/>
    <n v="4"/>
    <n v="80"/>
    <n v="0"/>
    <n v="1"/>
    <n v="3"/>
    <n v="1"/>
    <n v="0"/>
    <n v="0"/>
    <n v="0"/>
  </r>
  <r>
    <s v="No"/>
    <s v="Travel_Rarely"/>
    <x v="0"/>
    <s v="Current Employees"/>
    <x v="1"/>
    <x v="0"/>
    <s v="STAFF-836"/>
    <x v="604"/>
    <x v="1"/>
    <x v="3"/>
    <x v="1"/>
    <s v="No"/>
    <s v="Y"/>
    <n v="3"/>
    <n v="-2"/>
    <n v="0"/>
    <x v="19"/>
    <n v="0"/>
    <m/>
    <n v="0"/>
    <n v="1"/>
    <n v="933"/>
    <n v="29"/>
    <x v="3"/>
    <n v="1"/>
    <n v="2"/>
    <n v="98"/>
    <n v="3"/>
    <n v="2"/>
    <n v="1"/>
    <n v="4434"/>
    <n v="11806"/>
    <n v="1"/>
    <n v="13"/>
    <n v="3"/>
    <n v="4"/>
    <n v="80"/>
    <n v="1"/>
    <n v="10"/>
    <n v="2"/>
    <n v="9"/>
    <n v="8"/>
    <n v="7"/>
    <n v="8"/>
  </r>
  <r>
    <s v="No"/>
    <s v="Travel_Frequently"/>
    <x v="0"/>
    <s v="Current Employees"/>
    <x v="1"/>
    <x v="0"/>
    <s v="STAFF-837"/>
    <x v="605"/>
    <x v="1"/>
    <x v="4"/>
    <x v="2"/>
    <s v="No"/>
    <s v="Y"/>
    <n v="3"/>
    <n v="-2"/>
    <n v="0"/>
    <x v="8"/>
    <n v="0"/>
    <m/>
    <n v="0"/>
    <n v="1"/>
    <n v="471"/>
    <n v="12"/>
    <x v="3"/>
    <n v="1"/>
    <n v="1"/>
    <n v="45"/>
    <n v="2"/>
    <n v="2"/>
    <n v="1"/>
    <n v="6288"/>
    <n v="4284"/>
    <n v="2"/>
    <n v="15"/>
    <n v="3"/>
    <n v="3"/>
    <n v="80"/>
    <n v="1"/>
    <n v="13"/>
    <n v="2"/>
    <n v="4"/>
    <n v="3"/>
    <n v="1"/>
    <n v="2"/>
  </r>
  <r>
    <s v="No"/>
    <s v="Travel_Frequently"/>
    <x v="2"/>
    <s v="Current Employees"/>
    <x v="1"/>
    <x v="0"/>
    <s v="STAFF-838"/>
    <x v="606"/>
    <x v="0"/>
    <x v="1"/>
    <x v="0"/>
    <s v="No"/>
    <s v="Y"/>
    <n v="3"/>
    <n v="-2"/>
    <n v="0"/>
    <x v="13"/>
    <n v="0"/>
    <m/>
    <n v="0"/>
    <n v="1"/>
    <n v="702"/>
    <n v="16"/>
    <x v="2"/>
    <n v="1"/>
    <n v="3"/>
    <n v="100"/>
    <n v="2"/>
    <n v="1"/>
    <n v="1"/>
    <n v="2553"/>
    <n v="8306"/>
    <n v="1"/>
    <n v="16"/>
    <n v="3"/>
    <n v="3"/>
    <n v="80"/>
    <n v="0"/>
    <n v="6"/>
    <n v="3"/>
    <n v="5"/>
    <n v="2"/>
    <n v="1"/>
    <n v="3"/>
  </r>
  <r>
    <s v="Yes"/>
    <s v="Travel_Rarely"/>
    <x v="1"/>
    <s v="Ex-Employees"/>
    <x v="0"/>
    <x v="3"/>
    <s v="STAFF-840"/>
    <x v="607"/>
    <x v="0"/>
    <x v="0"/>
    <x v="1"/>
    <s v="No"/>
    <s v="Y"/>
    <n v="3"/>
    <n v="-2"/>
    <n v="0"/>
    <x v="1"/>
    <n v="1"/>
    <n v="1"/>
    <n v="1"/>
    <n v="0"/>
    <n v="1184"/>
    <n v="11"/>
    <x v="3"/>
    <n v="1"/>
    <n v="3"/>
    <n v="43"/>
    <n v="3"/>
    <n v="3"/>
    <n v="2"/>
    <n v="7654"/>
    <n v="5860"/>
    <n v="1"/>
    <n v="18"/>
    <n v="3"/>
    <n v="1"/>
    <n v="80"/>
    <n v="2"/>
    <n v="9"/>
    <n v="4"/>
    <n v="9"/>
    <n v="8"/>
    <n v="7"/>
    <n v="7"/>
  </r>
  <r>
    <s v="Yes"/>
    <s v="Travel_Rarely"/>
    <x v="3"/>
    <s v="Ex-Employees"/>
    <x v="0"/>
    <x v="2"/>
    <s v="STAFF-842"/>
    <x v="608"/>
    <x v="1"/>
    <x v="0"/>
    <x v="0"/>
    <s v="No"/>
    <s v="Y"/>
    <n v="3"/>
    <n v="-2"/>
    <n v="0"/>
    <x v="27"/>
    <n v="1"/>
    <n v="1"/>
    <n v="1"/>
    <n v="0"/>
    <n v="436"/>
    <n v="2"/>
    <x v="1"/>
    <n v="1"/>
    <n v="3"/>
    <n v="37"/>
    <n v="3"/>
    <n v="2"/>
    <n v="4"/>
    <n v="5160"/>
    <n v="21519"/>
    <n v="4"/>
    <n v="16"/>
    <n v="3"/>
    <n v="3"/>
    <n v="80"/>
    <n v="0"/>
    <n v="12"/>
    <n v="2"/>
    <n v="9"/>
    <n v="7"/>
    <n v="7"/>
    <n v="3"/>
  </r>
  <r>
    <s v="No"/>
    <s v="Travel_Rarely"/>
    <x v="0"/>
    <s v="Current Employees"/>
    <x v="1"/>
    <x v="0"/>
    <s v="STAFF-843"/>
    <x v="609"/>
    <x v="1"/>
    <x v="7"/>
    <x v="1"/>
    <s v="No"/>
    <s v="Y"/>
    <n v="3"/>
    <n v="-2"/>
    <n v="0"/>
    <x v="23"/>
    <n v="0"/>
    <m/>
    <n v="0"/>
    <n v="1"/>
    <n v="589"/>
    <n v="14"/>
    <x v="0"/>
    <n v="1"/>
    <n v="2"/>
    <n v="94"/>
    <n v="3"/>
    <n v="4"/>
    <n v="1"/>
    <n v="17159"/>
    <n v="5200"/>
    <n v="6"/>
    <n v="24"/>
    <n v="4"/>
    <n v="3"/>
    <n v="80"/>
    <n v="1"/>
    <n v="22"/>
    <n v="3"/>
    <n v="4"/>
    <n v="1"/>
    <n v="1"/>
    <n v="0"/>
  </r>
  <r>
    <s v="No"/>
    <s v="Travel_Rarely"/>
    <x v="2"/>
    <s v="Current Employees"/>
    <x v="1"/>
    <x v="4"/>
    <s v="STAFF-844"/>
    <x v="610"/>
    <x v="1"/>
    <x v="7"/>
    <x v="2"/>
    <s v="Yes"/>
    <s v="Y"/>
    <n v="3"/>
    <n v="-2"/>
    <n v="0"/>
    <x v="4"/>
    <n v="0"/>
    <m/>
    <n v="0"/>
    <n v="1"/>
    <n v="269"/>
    <n v="5"/>
    <x v="1"/>
    <n v="1"/>
    <n v="4"/>
    <n v="42"/>
    <n v="2"/>
    <n v="3"/>
    <n v="4"/>
    <n v="12808"/>
    <n v="8842"/>
    <n v="1"/>
    <n v="16"/>
    <n v="3"/>
    <n v="2"/>
    <n v="80"/>
    <n v="1"/>
    <n v="9"/>
    <n v="3"/>
    <n v="9"/>
    <n v="8"/>
    <n v="0"/>
    <n v="8"/>
  </r>
  <r>
    <s v="No"/>
    <s v="Travel_Rarely"/>
    <x v="0"/>
    <s v="Current Employees"/>
    <x v="1"/>
    <x v="1"/>
    <s v="STAFF-845"/>
    <x v="611"/>
    <x v="1"/>
    <x v="3"/>
    <x v="0"/>
    <s v="No"/>
    <s v="Y"/>
    <n v="3"/>
    <n v="-2"/>
    <n v="0"/>
    <x v="10"/>
    <n v="0"/>
    <m/>
    <n v="0"/>
    <n v="1"/>
    <n v="950"/>
    <n v="7"/>
    <x v="3"/>
    <n v="1"/>
    <n v="3"/>
    <n v="59"/>
    <n v="3"/>
    <n v="3"/>
    <n v="3"/>
    <n v="10221"/>
    <n v="18869"/>
    <n v="3"/>
    <n v="21"/>
    <n v="4"/>
    <n v="2"/>
    <n v="80"/>
    <n v="0"/>
    <n v="17"/>
    <n v="4"/>
    <n v="8"/>
    <n v="5"/>
    <n v="1"/>
    <n v="6"/>
  </r>
  <r>
    <s v="No"/>
    <s v="Travel_Rarely"/>
    <x v="2"/>
    <s v="Current Employees"/>
    <x v="0"/>
    <x v="3"/>
    <s v="STAFF-846"/>
    <x v="612"/>
    <x v="0"/>
    <x v="0"/>
    <x v="1"/>
    <s v="Yes"/>
    <s v="Y"/>
    <n v="2"/>
    <n v="-2"/>
    <n v="0"/>
    <x v="14"/>
    <n v="0"/>
    <m/>
    <n v="0"/>
    <n v="1"/>
    <n v="760"/>
    <n v="2"/>
    <x v="2"/>
    <n v="1"/>
    <n v="2"/>
    <n v="81"/>
    <n v="3"/>
    <n v="2"/>
    <n v="2"/>
    <n v="4779"/>
    <n v="3698"/>
    <n v="1"/>
    <n v="20"/>
    <n v="4"/>
    <n v="1"/>
    <n v="80"/>
    <n v="0"/>
    <n v="8"/>
    <n v="3"/>
    <n v="8"/>
    <n v="7"/>
    <n v="7"/>
    <n v="5"/>
  </r>
  <r>
    <s v="No"/>
    <s v="Travel_Rarely"/>
    <x v="2"/>
    <s v="Current Employees"/>
    <x v="2"/>
    <x v="5"/>
    <s v="STAFF-847"/>
    <x v="613"/>
    <x v="1"/>
    <x v="8"/>
    <x v="1"/>
    <s v="No"/>
    <s v="Y"/>
    <n v="1"/>
    <n v="-2"/>
    <n v="0"/>
    <x v="13"/>
    <n v="0"/>
    <m/>
    <n v="0"/>
    <n v="1"/>
    <n v="829"/>
    <n v="3"/>
    <x v="0"/>
    <n v="1"/>
    <n v="3"/>
    <n v="88"/>
    <n v="3"/>
    <n v="1"/>
    <n v="4"/>
    <n v="3737"/>
    <n v="2243"/>
    <n v="0"/>
    <n v="19"/>
    <n v="3"/>
    <n v="3"/>
    <n v="80"/>
    <n v="1"/>
    <n v="4"/>
    <n v="1"/>
    <n v="3"/>
    <n v="2"/>
    <n v="0"/>
    <n v="2"/>
  </r>
  <r>
    <s v="Yes"/>
    <s v="Travel_Frequently"/>
    <x v="2"/>
    <s v="Ex-Employees"/>
    <x v="1"/>
    <x v="2"/>
    <s v="STAFF-848"/>
    <x v="614"/>
    <x v="0"/>
    <x v="1"/>
    <x v="1"/>
    <s v="Yes"/>
    <s v="Y"/>
    <n v="2"/>
    <n v="-2"/>
    <n v="0"/>
    <x v="25"/>
    <n v="1"/>
    <n v="1"/>
    <n v="1"/>
    <n v="0"/>
    <n v="887"/>
    <n v="5"/>
    <x v="0"/>
    <n v="1"/>
    <n v="3"/>
    <n v="88"/>
    <n v="2"/>
    <n v="1"/>
    <n v="3"/>
    <n v="2366"/>
    <n v="20898"/>
    <n v="1"/>
    <n v="14"/>
    <n v="3"/>
    <n v="1"/>
    <n v="80"/>
    <n v="1"/>
    <n v="8"/>
    <n v="3"/>
    <n v="8"/>
    <n v="7"/>
    <n v="1"/>
    <n v="7"/>
  </r>
  <r>
    <s v="No"/>
    <s v="Non-Travel"/>
    <x v="2"/>
    <s v="Current Employees"/>
    <x v="1"/>
    <x v="2"/>
    <s v="STAFF-850"/>
    <x v="615"/>
    <x v="1"/>
    <x v="1"/>
    <x v="1"/>
    <s v="No"/>
    <s v="Y"/>
    <n v="6"/>
    <n v="-2"/>
    <n v="0"/>
    <x v="4"/>
    <n v="0"/>
    <m/>
    <n v="0"/>
    <n v="1"/>
    <n v="443"/>
    <n v="3"/>
    <x v="3"/>
    <n v="1"/>
    <n v="4"/>
    <n v="50"/>
    <n v="3"/>
    <n v="1"/>
    <n v="4"/>
    <n v="1706"/>
    <n v="16571"/>
    <n v="1"/>
    <n v="11"/>
    <n v="3"/>
    <n v="3"/>
    <n v="80"/>
    <n v="3"/>
    <n v="0"/>
    <n v="2"/>
    <n v="0"/>
    <n v="0"/>
    <n v="0"/>
    <n v="0"/>
  </r>
  <r>
    <s v="No"/>
    <s v="Travel_Rarely"/>
    <x v="1"/>
    <s v="Current Employees"/>
    <x v="0"/>
    <x v="3"/>
    <s v="STAFF-851"/>
    <x v="616"/>
    <x v="0"/>
    <x v="5"/>
    <x v="1"/>
    <s v="No"/>
    <s v="Y"/>
    <n v="2"/>
    <n v="-2"/>
    <n v="0"/>
    <x v="31"/>
    <n v="0"/>
    <m/>
    <n v="0"/>
    <n v="1"/>
    <n v="1318"/>
    <n v="26"/>
    <x v="2"/>
    <n v="1"/>
    <n v="1"/>
    <n v="66"/>
    <n v="3"/>
    <n v="4"/>
    <n v="2"/>
    <n v="16307"/>
    <n v="5594"/>
    <n v="2"/>
    <n v="14"/>
    <n v="3"/>
    <n v="3"/>
    <n v="80"/>
    <n v="1"/>
    <n v="29"/>
    <n v="2"/>
    <n v="20"/>
    <n v="6"/>
    <n v="4"/>
    <n v="17"/>
  </r>
  <r>
    <s v="No"/>
    <s v="Travel_Rarely"/>
    <x v="0"/>
    <s v="Current Employees"/>
    <x v="1"/>
    <x v="2"/>
    <s v="STAFF-852"/>
    <x v="617"/>
    <x v="1"/>
    <x v="4"/>
    <x v="0"/>
    <s v="No"/>
    <s v="Y"/>
    <n v="2"/>
    <n v="-2"/>
    <n v="0"/>
    <x v="20"/>
    <n v="0"/>
    <m/>
    <n v="0"/>
    <n v="1"/>
    <n v="625"/>
    <n v="4"/>
    <x v="3"/>
    <n v="1"/>
    <n v="4"/>
    <n v="50"/>
    <n v="3"/>
    <n v="2"/>
    <n v="3"/>
    <n v="5933"/>
    <n v="5197"/>
    <n v="9"/>
    <n v="12"/>
    <n v="3"/>
    <n v="4"/>
    <n v="80"/>
    <n v="0"/>
    <n v="10"/>
    <n v="2"/>
    <n v="5"/>
    <n v="2"/>
    <n v="2"/>
    <n v="3"/>
  </r>
  <r>
    <s v="No"/>
    <s v="Travel_Rarely"/>
    <x v="2"/>
    <s v="Current Employees"/>
    <x v="1"/>
    <x v="2"/>
    <s v="STAFF-854"/>
    <x v="618"/>
    <x v="1"/>
    <x v="1"/>
    <x v="0"/>
    <s v="No"/>
    <s v="Y"/>
    <n v="3"/>
    <n v="-2"/>
    <n v="0"/>
    <x v="36"/>
    <n v="0"/>
    <m/>
    <n v="0"/>
    <n v="1"/>
    <n v="180"/>
    <n v="2"/>
    <x v="1"/>
    <n v="1"/>
    <n v="1"/>
    <n v="65"/>
    <n v="4"/>
    <n v="1"/>
    <n v="3"/>
    <n v="3424"/>
    <n v="21632"/>
    <n v="7"/>
    <n v="13"/>
    <n v="3"/>
    <n v="3"/>
    <n v="80"/>
    <n v="0"/>
    <n v="6"/>
    <n v="2"/>
    <n v="4"/>
    <n v="3"/>
    <n v="0"/>
    <n v="1"/>
  </r>
  <r>
    <s v="No"/>
    <s v="Travel_Rarely"/>
    <x v="2"/>
    <s v="Current Employees"/>
    <x v="0"/>
    <x v="2"/>
    <s v="STAFF-855"/>
    <x v="619"/>
    <x v="1"/>
    <x v="0"/>
    <x v="2"/>
    <s v="No"/>
    <s v="Y"/>
    <n v="5"/>
    <n v="-2"/>
    <n v="0"/>
    <x v="3"/>
    <n v="0"/>
    <m/>
    <n v="0"/>
    <n v="1"/>
    <n v="586"/>
    <n v="1"/>
    <x v="3"/>
    <n v="1"/>
    <n v="1"/>
    <n v="48"/>
    <n v="4"/>
    <n v="2"/>
    <n v="3"/>
    <n v="4037"/>
    <n v="21816"/>
    <n v="1"/>
    <n v="22"/>
    <n v="4"/>
    <n v="1"/>
    <n v="80"/>
    <n v="1"/>
    <n v="9"/>
    <n v="3"/>
    <n v="9"/>
    <n v="8"/>
    <n v="0"/>
    <n v="8"/>
  </r>
  <r>
    <s v="No"/>
    <s v="Travel_Rarely"/>
    <x v="0"/>
    <s v="Current Employees"/>
    <x v="1"/>
    <x v="2"/>
    <s v="STAFF-856"/>
    <x v="620"/>
    <x v="0"/>
    <x v="1"/>
    <x v="0"/>
    <s v="No"/>
    <s v="Y"/>
    <n v="3"/>
    <n v="-2"/>
    <n v="0"/>
    <x v="10"/>
    <n v="0"/>
    <m/>
    <n v="0"/>
    <n v="1"/>
    <n v="1343"/>
    <n v="27"/>
    <x v="1"/>
    <n v="1"/>
    <n v="3"/>
    <n v="53"/>
    <n v="2"/>
    <n v="1"/>
    <n v="3"/>
    <n v="2559"/>
    <n v="17852"/>
    <n v="1"/>
    <n v="11"/>
    <n v="3"/>
    <n v="4"/>
    <n v="80"/>
    <n v="0"/>
    <n v="6"/>
    <n v="2"/>
    <n v="6"/>
    <n v="5"/>
    <n v="1"/>
    <n v="1"/>
  </r>
  <r>
    <s v="No"/>
    <s v="Travel_Rarely"/>
    <x v="0"/>
    <s v="Current Employees"/>
    <x v="0"/>
    <x v="0"/>
    <s v="STAFF-857"/>
    <x v="621"/>
    <x v="1"/>
    <x v="0"/>
    <x v="1"/>
    <s v="Yes"/>
    <s v="Y"/>
    <n v="1"/>
    <n v="-2"/>
    <n v="0"/>
    <x v="9"/>
    <n v="0"/>
    <m/>
    <n v="0"/>
    <n v="1"/>
    <n v="928"/>
    <n v="1"/>
    <x v="0"/>
    <n v="1"/>
    <n v="2"/>
    <n v="56"/>
    <n v="3"/>
    <n v="2"/>
    <n v="1"/>
    <n v="6201"/>
    <n v="2823"/>
    <n v="1"/>
    <n v="14"/>
    <n v="3"/>
    <n v="4"/>
    <n v="80"/>
    <n v="1"/>
    <n v="18"/>
    <n v="2"/>
    <n v="18"/>
    <n v="14"/>
    <n v="4"/>
    <n v="11"/>
  </r>
  <r>
    <s v="No"/>
    <s v="Travel_Rarely"/>
    <x v="2"/>
    <s v="Current Employees"/>
    <x v="0"/>
    <x v="0"/>
    <s v="STAFF-859"/>
    <x v="622"/>
    <x v="1"/>
    <x v="0"/>
    <x v="2"/>
    <s v="No"/>
    <s v="Y"/>
    <n v="3"/>
    <n v="-2"/>
    <n v="0"/>
    <x v="5"/>
    <n v="0"/>
    <m/>
    <n v="0"/>
    <n v="1"/>
    <n v="117"/>
    <n v="13"/>
    <x v="2"/>
    <n v="1"/>
    <n v="2"/>
    <n v="73"/>
    <n v="3"/>
    <n v="2"/>
    <n v="1"/>
    <n v="4403"/>
    <n v="9250"/>
    <n v="2"/>
    <n v="11"/>
    <n v="3"/>
    <n v="3"/>
    <n v="80"/>
    <n v="1"/>
    <n v="8"/>
    <n v="2"/>
    <n v="5"/>
    <n v="2"/>
    <n v="0"/>
    <n v="3"/>
  </r>
  <r>
    <s v="No"/>
    <s v="Travel_Frequently"/>
    <x v="2"/>
    <s v="Current Employees"/>
    <x v="1"/>
    <x v="0"/>
    <s v="STAFF-861"/>
    <x v="623"/>
    <x v="1"/>
    <x v="1"/>
    <x v="2"/>
    <s v="No"/>
    <s v="Y"/>
    <n v="3"/>
    <n v="-2"/>
    <n v="0"/>
    <x v="7"/>
    <n v="0"/>
    <m/>
    <n v="0"/>
    <n v="1"/>
    <n v="1012"/>
    <n v="5"/>
    <x v="2"/>
    <n v="1"/>
    <n v="2"/>
    <n v="75"/>
    <n v="2"/>
    <n v="1"/>
    <n v="1"/>
    <n v="3761"/>
    <n v="2373"/>
    <n v="9"/>
    <n v="12"/>
    <n v="3"/>
    <n v="2"/>
    <n v="80"/>
    <n v="1"/>
    <n v="10"/>
    <n v="2"/>
    <n v="5"/>
    <n v="4"/>
    <n v="0"/>
    <n v="3"/>
  </r>
  <r>
    <s v="No"/>
    <s v="Travel_Rarely"/>
    <x v="1"/>
    <s v="Current Employees"/>
    <x v="0"/>
    <x v="3"/>
    <s v="STAFF-862"/>
    <x v="624"/>
    <x v="0"/>
    <x v="0"/>
    <x v="1"/>
    <s v="Yes"/>
    <s v="Y"/>
    <n v="3"/>
    <n v="-2"/>
    <n v="0"/>
    <x v="16"/>
    <n v="0"/>
    <m/>
    <n v="0"/>
    <n v="1"/>
    <n v="661"/>
    <n v="7"/>
    <x v="0"/>
    <n v="1"/>
    <n v="1"/>
    <n v="78"/>
    <n v="2"/>
    <n v="3"/>
    <n v="2"/>
    <n v="10934"/>
    <n v="20715"/>
    <n v="7"/>
    <n v="18"/>
    <n v="3"/>
    <n v="4"/>
    <n v="80"/>
    <n v="1"/>
    <n v="35"/>
    <n v="3"/>
    <n v="5"/>
    <n v="2"/>
    <n v="0"/>
    <n v="4"/>
  </r>
  <r>
    <s v="No"/>
    <s v="Travel_Rarely"/>
    <x v="1"/>
    <s v="Current Employees"/>
    <x v="0"/>
    <x v="3"/>
    <s v="STAFF-864"/>
    <x v="625"/>
    <x v="1"/>
    <x v="0"/>
    <x v="2"/>
    <s v="Yes"/>
    <s v="Y"/>
    <n v="2"/>
    <n v="-2"/>
    <n v="0"/>
    <x v="28"/>
    <n v="0"/>
    <m/>
    <n v="0"/>
    <n v="1"/>
    <n v="930"/>
    <n v="9"/>
    <x v="3"/>
    <n v="1"/>
    <n v="4"/>
    <n v="74"/>
    <n v="3"/>
    <n v="3"/>
    <n v="2"/>
    <n v="10761"/>
    <n v="19239"/>
    <n v="4"/>
    <n v="12"/>
    <n v="3"/>
    <n v="3"/>
    <n v="80"/>
    <n v="1"/>
    <n v="18"/>
    <n v="3"/>
    <n v="5"/>
    <n v="4"/>
    <n v="0"/>
    <n v="2"/>
  </r>
  <r>
    <s v="No"/>
    <s v="Travel_Rarely"/>
    <x v="2"/>
    <s v="Current Employees"/>
    <x v="1"/>
    <x v="2"/>
    <s v="STAFF-865"/>
    <x v="626"/>
    <x v="0"/>
    <x v="1"/>
    <x v="1"/>
    <s v="No"/>
    <s v="Y"/>
    <n v="3"/>
    <n v="-2"/>
    <n v="0"/>
    <x v="5"/>
    <n v="0"/>
    <m/>
    <n v="0"/>
    <n v="1"/>
    <n v="638"/>
    <n v="8"/>
    <x v="0"/>
    <n v="1"/>
    <n v="3"/>
    <n v="91"/>
    <n v="4"/>
    <n v="2"/>
    <n v="3"/>
    <n v="5175"/>
    <n v="22162"/>
    <n v="5"/>
    <n v="12"/>
    <n v="3"/>
    <n v="3"/>
    <n v="80"/>
    <n v="1"/>
    <n v="9"/>
    <n v="2"/>
    <n v="5"/>
    <n v="3"/>
    <n v="1"/>
    <n v="3"/>
  </r>
  <r>
    <s v="No"/>
    <s v="Travel_Frequently"/>
    <x v="1"/>
    <s v="Current Employees"/>
    <x v="1"/>
    <x v="2"/>
    <s v="STAFF-867"/>
    <x v="627"/>
    <x v="0"/>
    <x v="3"/>
    <x v="1"/>
    <s v="No"/>
    <s v="Y"/>
    <n v="3"/>
    <n v="-2"/>
    <n v="0"/>
    <x v="39"/>
    <n v="0"/>
    <m/>
    <n v="0"/>
    <n v="1"/>
    <n v="890"/>
    <n v="25"/>
    <x v="2"/>
    <n v="1"/>
    <n v="3"/>
    <n v="81"/>
    <n v="2"/>
    <n v="4"/>
    <n v="4"/>
    <n v="13826"/>
    <n v="19028"/>
    <n v="3"/>
    <n v="22"/>
    <n v="4"/>
    <n v="3"/>
    <n v="80"/>
    <n v="0"/>
    <n v="31"/>
    <n v="3"/>
    <n v="9"/>
    <n v="8"/>
    <n v="0"/>
    <n v="0"/>
  </r>
  <r>
    <s v="No"/>
    <s v="Travel_Rarely"/>
    <x v="0"/>
    <s v="Current Employees"/>
    <x v="0"/>
    <x v="3"/>
    <s v="STAFF-868"/>
    <x v="628"/>
    <x v="1"/>
    <x v="0"/>
    <x v="2"/>
    <s v="No"/>
    <s v="Y"/>
    <n v="2"/>
    <n v="-2"/>
    <n v="0"/>
    <x v="2"/>
    <n v="0"/>
    <m/>
    <n v="0"/>
    <n v="1"/>
    <n v="342"/>
    <n v="16"/>
    <x v="2"/>
    <n v="1"/>
    <n v="4"/>
    <n v="66"/>
    <n v="2"/>
    <n v="2"/>
    <n v="2"/>
    <n v="6334"/>
    <n v="24558"/>
    <n v="4"/>
    <n v="19"/>
    <n v="3"/>
    <n v="4"/>
    <n v="80"/>
    <n v="2"/>
    <n v="9"/>
    <n v="3"/>
    <n v="1"/>
    <n v="0"/>
    <n v="0"/>
    <n v="0"/>
  </r>
  <r>
    <s v="No"/>
    <s v="Travel_Rarely"/>
    <x v="2"/>
    <s v="Current Employees"/>
    <x v="2"/>
    <x v="2"/>
    <s v="STAFF-869"/>
    <x v="629"/>
    <x v="1"/>
    <x v="8"/>
    <x v="2"/>
    <s v="No"/>
    <s v="Y"/>
    <n v="6"/>
    <n v="-2"/>
    <n v="0"/>
    <x v="14"/>
    <n v="0"/>
    <m/>
    <n v="0"/>
    <n v="1"/>
    <n v="1169"/>
    <n v="8"/>
    <x v="0"/>
    <n v="1"/>
    <n v="2"/>
    <n v="63"/>
    <n v="2"/>
    <n v="1"/>
    <n v="4"/>
    <n v="4936"/>
    <n v="23965"/>
    <n v="1"/>
    <n v="13"/>
    <n v="3"/>
    <n v="4"/>
    <n v="80"/>
    <n v="1"/>
    <n v="6"/>
    <n v="3"/>
    <n v="5"/>
    <n v="1"/>
    <n v="0"/>
    <n v="4"/>
  </r>
  <r>
    <s v="No"/>
    <s v="Travel_Rarely"/>
    <x v="4"/>
    <s v="Current Employees"/>
    <x v="1"/>
    <x v="0"/>
    <s v="STAFF-872"/>
    <x v="630"/>
    <x v="1"/>
    <x v="3"/>
    <x v="1"/>
    <s v="No"/>
    <s v="Y"/>
    <n v="2"/>
    <n v="-2"/>
    <n v="0"/>
    <x v="15"/>
    <n v="0"/>
    <m/>
    <n v="0"/>
    <n v="1"/>
    <n v="1230"/>
    <n v="1"/>
    <x v="0"/>
    <n v="1"/>
    <n v="4"/>
    <n v="33"/>
    <n v="2"/>
    <n v="2"/>
    <n v="1"/>
    <n v="4775"/>
    <n v="19146"/>
    <n v="6"/>
    <n v="22"/>
    <n v="4"/>
    <n v="1"/>
    <n v="80"/>
    <n v="2"/>
    <n v="4"/>
    <n v="1"/>
    <n v="2"/>
    <n v="2"/>
    <n v="2"/>
    <n v="2"/>
  </r>
  <r>
    <s v="No"/>
    <s v="Travel_Rarely"/>
    <x v="0"/>
    <s v="Current Employees"/>
    <x v="1"/>
    <x v="0"/>
    <s v="STAFF-874"/>
    <x v="631"/>
    <x v="1"/>
    <x v="2"/>
    <x v="1"/>
    <s v="Yes"/>
    <s v="Y"/>
    <n v="2"/>
    <n v="-2"/>
    <n v="0"/>
    <x v="20"/>
    <n v="0"/>
    <m/>
    <n v="0"/>
    <n v="1"/>
    <n v="986"/>
    <n v="8"/>
    <x v="2"/>
    <n v="1"/>
    <n v="1"/>
    <n v="62"/>
    <n v="4"/>
    <n v="1"/>
    <n v="1"/>
    <n v="2818"/>
    <n v="5044"/>
    <n v="2"/>
    <n v="24"/>
    <n v="4"/>
    <n v="3"/>
    <n v="80"/>
    <n v="1"/>
    <n v="10"/>
    <n v="2"/>
    <n v="3"/>
    <n v="2"/>
    <n v="0"/>
    <n v="2"/>
  </r>
  <r>
    <s v="No"/>
    <s v="Travel_Frequently"/>
    <x v="0"/>
    <s v="Current Employees"/>
    <x v="1"/>
    <x v="2"/>
    <s v="STAFF-875"/>
    <x v="632"/>
    <x v="1"/>
    <x v="1"/>
    <x v="0"/>
    <s v="Yes"/>
    <s v="Y"/>
    <n v="2"/>
    <n v="-2"/>
    <n v="0"/>
    <x v="19"/>
    <n v="0"/>
    <m/>
    <n v="0"/>
    <n v="1"/>
    <n v="1271"/>
    <n v="2"/>
    <x v="1"/>
    <n v="1"/>
    <n v="2"/>
    <n v="35"/>
    <n v="3"/>
    <n v="1"/>
    <n v="4"/>
    <n v="2515"/>
    <n v="9068"/>
    <n v="5"/>
    <n v="14"/>
    <n v="3"/>
    <n v="4"/>
    <n v="80"/>
    <n v="0"/>
    <n v="8"/>
    <n v="3"/>
    <n v="2"/>
    <n v="1"/>
    <n v="2"/>
    <n v="2"/>
  </r>
  <r>
    <s v="No"/>
    <s v="Travel_Rarely"/>
    <x v="0"/>
    <s v="Current Employees"/>
    <x v="2"/>
    <x v="0"/>
    <s v="STAFF-878"/>
    <x v="633"/>
    <x v="1"/>
    <x v="8"/>
    <x v="1"/>
    <s v="No"/>
    <s v="Y"/>
    <n v="3"/>
    <n v="-2"/>
    <n v="0"/>
    <x v="9"/>
    <n v="0"/>
    <m/>
    <n v="0"/>
    <n v="1"/>
    <n v="1278"/>
    <n v="8"/>
    <x v="3"/>
    <n v="1"/>
    <n v="1"/>
    <n v="77"/>
    <n v="2"/>
    <n v="1"/>
    <n v="1"/>
    <n v="2342"/>
    <n v="8635"/>
    <n v="0"/>
    <n v="21"/>
    <n v="4"/>
    <n v="3"/>
    <n v="80"/>
    <n v="0"/>
    <n v="6"/>
    <n v="3"/>
    <n v="5"/>
    <n v="4"/>
    <n v="0"/>
    <n v="3"/>
  </r>
  <r>
    <s v="No"/>
    <s v="Travel_Rarely"/>
    <x v="2"/>
    <s v="Current Employees"/>
    <x v="0"/>
    <x v="1"/>
    <s v="STAFF-879"/>
    <x v="634"/>
    <x v="1"/>
    <x v="0"/>
    <x v="1"/>
    <s v="Yes"/>
    <s v="Y"/>
    <n v="3"/>
    <n v="-2"/>
    <n v="0"/>
    <x v="36"/>
    <n v="0"/>
    <m/>
    <n v="0"/>
    <n v="1"/>
    <n v="141"/>
    <n v="3"/>
    <x v="1"/>
    <n v="1"/>
    <n v="3"/>
    <n v="98"/>
    <n v="3"/>
    <n v="2"/>
    <n v="3"/>
    <n v="4194"/>
    <n v="14363"/>
    <n v="1"/>
    <n v="18"/>
    <n v="3"/>
    <n v="4"/>
    <n v="80"/>
    <n v="0"/>
    <n v="5"/>
    <n v="3"/>
    <n v="5"/>
    <n v="3"/>
    <n v="0"/>
    <n v="3"/>
  </r>
  <r>
    <s v="No"/>
    <s v="Travel_Rarely"/>
    <x v="0"/>
    <s v="Current Employees"/>
    <x v="1"/>
    <x v="0"/>
    <s v="STAFF-880"/>
    <x v="635"/>
    <x v="0"/>
    <x v="3"/>
    <x v="1"/>
    <s v="Yes"/>
    <s v="Y"/>
    <n v="2"/>
    <n v="-2"/>
    <n v="0"/>
    <x v="10"/>
    <n v="0"/>
    <m/>
    <n v="0"/>
    <n v="1"/>
    <n v="607"/>
    <n v="9"/>
    <x v="3"/>
    <n v="1"/>
    <n v="4"/>
    <n v="66"/>
    <n v="2"/>
    <n v="3"/>
    <n v="1"/>
    <n v="10685"/>
    <n v="23457"/>
    <n v="1"/>
    <n v="20"/>
    <n v="4"/>
    <n v="2"/>
    <n v="80"/>
    <n v="1"/>
    <n v="17"/>
    <n v="3"/>
    <n v="17"/>
    <n v="14"/>
    <n v="5"/>
    <n v="15"/>
  </r>
  <r>
    <s v="Yes"/>
    <s v="Travel_Frequently"/>
    <x v="0"/>
    <s v="Ex-Employees"/>
    <x v="1"/>
    <x v="0"/>
    <s v="STAFF-881"/>
    <x v="636"/>
    <x v="0"/>
    <x v="1"/>
    <x v="2"/>
    <s v="Yes"/>
    <s v="Y"/>
    <n v="3"/>
    <n v="-2"/>
    <n v="0"/>
    <x v="10"/>
    <n v="1"/>
    <n v="1"/>
    <n v="1"/>
    <n v="0"/>
    <n v="130"/>
    <n v="25"/>
    <x v="2"/>
    <n v="1"/>
    <n v="4"/>
    <n v="96"/>
    <n v="3"/>
    <n v="1"/>
    <n v="1"/>
    <n v="2022"/>
    <n v="16612"/>
    <n v="1"/>
    <n v="19"/>
    <n v="3"/>
    <n v="1"/>
    <n v="80"/>
    <n v="1"/>
    <n v="10"/>
    <n v="2"/>
    <n v="10"/>
    <n v="2"/>
    <n v="7"/>
    <n v="8"/>
  </r>
  <r>
    <s v="No"/>
    <s v="Non-Travel"/>
    <x v="2"/>
    <s v="Current Employees"/>
    <x v="1"/>
    <x v="0"/>
    <s v="STAFF-882"/>
    <x v="637"/>
    <x v="1"/>
    <x v="2"/>
    <x v="2"/>
    <s v="No"/>
    <s v="Y"/>
    <n v="2"/>
    <n v="-2"/>
    <n v="0"/>
    <x v="5"/>
    <n v="0"/>
    <m/>
    <n v="0"/>
    <n v="1"/>
    <n v="300"/>
    <n v="1"/>
    <x v="3"/>
    <n v="1"/>
    <n v="4"/>
    <n v="61"/>
    <n v="3"/>
    <n v="1"/>
    <n v="1"/>
    <n v="2314"/>
    <n v="9148"/>
    <n v="0"/>
    <n v="12"/>
    <n v="3"/>
    <n v="2"/>
    <n v="80"/>
    <n v="1"/>
    <n v="4"/>
    <n v="3"/>
    <n v="3"/>
    <n v="0"/>
    <n v="0"/>
    <n v="2"/>
  </r>
  <r>
    <s v="No"/>
    <s v="Travel_Rarely"/>
    <x v="2"/>
    <s v="Current Employees"/>
    <x v="0"/>
    <x v="3"/>
    <s v="STAFF-885"/>
    <x v="638"/>
    <x v="1"/>
    <x v="0"/>
    <x v="1"/>
    <s v="No"/>
    <s v="Y"/>
    <n v="1"/>
    <n v="-2"/>
    <n v="0"/>
    <x v="36"/>
    <n v="0"/>
    <m/>
    <n v="0"/>
    <n v="1"/>
    <n v="583"/>
    <n v="4"/>
    <x v="1"/>
    <n v="1"/>
    <n v="3"/>
    <n v="87"/>
    <n v="2"/>
    <n v="2"/>
    <n v="2"/>
    <n v="4256"/>
    <n v="18154"/>
    <n v="1"/>
    <n v="12"/>
    <n v="3"/>
    <n v="1"/>
    <n v="80"/>
    <n v="0"/>
    <n v="5"/>
    <n v="4"/>
    <n v="5"/>
    <n v="2"/>
    <n v="0"/>
    <n v="3"/>
  </r>
  <r>
    <s v="No"/>
    <s v="Travel_Rarely"/>
    <x v="1"/>
    <s v="Current Employees"/>
    <x v="1"/>
    <x v="4"/>
    <s v="STAFF-887"/>
    <x v="639"/>
    <x v="0"/>
    <x v="1"/>
    <x v="1"/>
    <s v="No"/>
    <s v="Y"/>
    <n v="2"/>
    <n v="-2"/>
    <n v="0"/>
    <x v="1"/>
    <n v="0"/>
    <m/>
    <n v="0"/>
    <n v="1"/>
    <n v="1418"/>
    <n v="1"/>
    <x v="3"/>
    <n v="1"/>
    <n v="4"/>
    <n v="36"/>
    <n v="3"/>
    <n v="1"/>
    <n v="4"/>
    <n v="3580"/>
    <n v="10554"/>
    <n v="2"/>
    <n v="16"/>
    <n v="3"/>
    <n v="2"/>
    <n v="80"/>
    <n v="1"/>
    <n v="7"/>
    <n v="3"/>
    <n v="4"/>
    <n v="2"/>
    <n v="0"/>
    <n v="2"/>
  </r>
  <r>
    <s v="No"/>
    <s v="Non-Travel"/>
    <x v="4"/>
    <s v="Current Employees"/>
    <x v="1"/>
    <x v="0"/>
    <s v="STAFF-888"/>
    <x v="640"/>
    <x v="1"/>
    <x v="2"/>
    <x v="1"/>
    <s v="No"/>
    <s v="Y"/>
    <n v="2"/>
    <n v="-2"/>
    <n v="0"/>
    <x v="17"/>
    <n v="0"/>
    <m/>
    <n v="0"/>
    <n v="1"/>
    <n v="1269"/>
    <n v="4"/>
    <x v="1"/>
    <n v="1"/>
    <n v="1"/>
    <n v="46"/>
    <n v="2"/>
    <n v="1"/>
    <n v="1"/>
    <n v="3162"/>
    <n v="10778"/>
    <n v="0"/>
    <n v="17"/>
    <n v="3"/>
    <n v="4"/>
    <n v="80"/>
    <n v="0"/>
    <n v="6"/>
    <n v="2"/>
    <n v="5"/>
    <n v="2"/>
    <n v="3"/>
    <n v="4"/>
  </r>
  <r>
    <s v="No"/>
    <s v="Travel_Frequently"/>
    <x v="2"/>
    <s v="Current Employees"/>
    <x v="0"/>
    <x v="0"/>
    <s v="STAFF-889"/>
    <x v="641"/>
    <x v="1"/>
    <x v="0"/>
    <x v="1"/>
    <s v="No"/>
    <s v="Y"/>
    <n v="3"/>
    <n v="-2"/>
    <n v="0"/>
    <x v="5"/>
    <n v="0"/>
    <m/>
    <n v="0"/>
    <n v="1"/>
    <n v="379"/>
    <n v="5"/>
    <x v="0"/>
    <n v="1"/>
    <n v="2"/>
    <n v="48"/>
    <n v="3"/>
    <n v="2"/>
    <n v="1"/>
    <n v="6524"/>
    <n v="8891"/>
    <n v="1"/>
    <n v="14"/>
    <n v="3"/>
    <n v="4"/>
    <n v="80"/>
    <n v="1"/>
    <n v="10"/>
    <n v="3"/>
    <n v="10"/>
    <n v="8"/>
    <n v="5"/>
    <n v="3"/>
  </r>
  <r>
    <s v="No"/>
    <s v="Travel_Rarely"/>
    <x v="0"/>
    <s v="Current Employees"/>
    <x v="0"/>
    <x v="3"/>
    <s v="STAFF-893"/>
    <x v="642"/>
    <x v="1"/>
    <x v="6"/>
    <x v="1"/>
    <s v="No"/>
    <s v="Y"/>
    <n v="3"/>
    <n v="-2"/>
    <n v="0"/>
    <x v="8"/>
    <n v="0"/>
    <m/>
    <n v="0"/>
    <n v="1"/>
    <n v="395"/>
    <n v="9"/>
    <x v="3"/>
    <n v="1"/>
    <n v="2"/>
    <n v="98"/>
    <n v="2"/>
    <n v="1"/>
    <n v="2"/>
    <n v="2899"/>
    <n v="12102"/>
    <n v="0"/>
    <n v="19"/>
    <n v="3"/>
    <n v="4"/>
    <n v="80"/>
    <n v="1"/>
    <n v="3"/>
    <n v="3"/>
    <n v="2"/>
    <n v="2"/>
    <n v="1"/>
    <n v="2"/>
  </r>
  <r>
    <s v="No"/>
    <s v="Travel_Rarely"/>
    <x v="0"/>
    <s v="Current Employees"/>
    <x v="1"/>
    <x v="0"/>
    <s v="STAFF-894"/>
    <x v="643"/>
    <x v="0"/>
    <x v="2"/>
    <x v="1"/>
    <s v="Yes"/>
    <s v="Y"/>
    <n v="1"/>
    <n v="-2"/>
    <n v="0"/>
    <x v="19"/>
    <n v="0"/>
    <m/>
    <n v="0"/>
    <n v="1"/>
    <n v="1265"/>
    <n v="3"/>
    <x v="3"/>
    <n v="1"/>
    <n v="3"/>
    <n v="95"/>
    <n v="4"/>
    <n v="2"/>
    <n v="1"/>
    <n v="5231"/>
    <n v="23726"/>
    <n v="2"/>
    <n v="13"/>
    <n v="3"/>
    <n v="2"/>
    <n v="80"/>
    <n v="1"/>
    <n v="17"/>
    <n v="2"/>
    <n v="5"/>
    <n v="3"/>
    <n v="1"/>
    <n v="3"/>
  </r>
  <r>
    <s v="No"/>
    <s v="Travel_Rarely"/>
    <x v="2"/>
    <s v="Current Employees"/>
    <x v="1"/>
    <x v="0"/>
    <s v="STAFF-895"/>
    <x v="644"/>
    <x v="1"/>
    <x v="1"/>
    <x v="1"/>
    <s v="Yes"/>
    <s v="Y"/>
    <n v="2"/>
    <n v="-2"/>
    <n v="0"/>
    <x v="12"/>
    <n v="0"/>
    <m/>
    <n v="0"/>
    <n v="1"/>
    <n v="1222"/>
    <n v="11"/>
    <x v="2"/>
    <n v="1"/>
    <n v="4"/>
    <n v="48"/>
    <n v="3"/>
    <n v="1"/>
    <n v="1"/>
    <n v="2356"/>
    <n v="14871"/>
    <n v="3"/>
    <n v="19"/>
    <n v="3"/>
    <n v="2"/>
    <n v="80"/>
    <n v="1"/>
    <n v="8"/>
    <n v="3"/>
    <n v="6"/>
    <n v="4"/>
    <n v="0"/>
    <n v="2"/>
  </r>
  <r>
    <s v="Yes"/>
    <s v="Travel_Rarely"/>
    <x v="2"/>
    <s v="Ex-Employees"/>
    <x v="0"/>
    <x v="2"/>
    <s v="STAFF-896"/>
    <x v="645"/>
    <x v="0"/>
    <x v="6"/>
    <x v="2"/>
    <s v="Yes"/>
    <s v="Y"/>
    <n v="3"/>
    <n v="-2"/>
    <n v="0"/>
    <x v="11"/>
    <n v="1"/>
    <n v="1"/>
    <n v="1"/>
    <n v="0"/>
    <n v="341"/>
    <n v="1"/>
    <x v="3"/>
    <n v="1"/>
    <n v="2"/>
    <n v="48"/>
    <n v="2"/>
    <n v="1"/>
    <n v="3"/>
    <n v="2800"/>
    <n v="23522"/>
    <n v="6"/>
    <n v="19"/>
    <n v="3"/>
    <n v="3"/>
    <n v="80"/>
    <n v="3"/>
    <n v="5"/>
    <n v="3"/>
    <n v="3"/>
    <n v="2"/>
    <n v="0"/>
    <n v="2"/>
  </r>
  <r>
    <s v="No"/>
    <s v="Travel_Rarely"/>
    <x v="1"/>
    <s v="Current Employees"/>
    <x v="0"/>
    <x v="3"/>
    <s v="STAFF-897"/>
    <x v="646"/>
    <x v="1"/>
    <x v="0"/>
    <x v="1"/>
    <s v="No"/>
    <s v="Y"/>
    <n v="3"/>
    <n v="-2"/>
    <n v="0"/>
    <x v="16"/>
    <n v="0"/>
    <m/>
    <n v="0"/>
    <n v="1"/>
    <n v="868"/>
    <n v="8"/>
    <x v="3"/>
    <n v="1"/>
    <n v="1"/>
    <n v="73"/>
    <n v="3"/>
    <n v="4"/>
    <n v="2"/>
    <n v="11836"/>
    <n v="22789"/>
    <n v="5"/>
    <n v="14"/>
    <n v="3"/>
    <n v="3"/>
    <n v="80"/>
    <n v="1"/>
    <n v="28"/>
    <n v="3"/>
    <n v="2"/>
    <n v="0"/>
    <n v="2"/>
    <n v="2"/>
  </r>
  <r>
    <s v="No"/>
    <s v="Travel_Rarely"/>
    <x v="0"/>
    <s v="Current Employees"/>
    <x v="1"/>
    <x v="4"/>
    <s v="STAFF-899"/>
    <x v="647"/>
    <x v="1"/>
    <x v="3"/>
    <x v="1"/>
    <s v="No"/>
    <s v="Y"/>
    <n v="2"/>
    <n v="-2"/>
    <n v="0"/>
    <x v="10"/>
    <n v="0"/>
    <m/>
    <n v="0"/>
    <n v="1"/>
    <n v="672"/>
    <n v="25"/>
    <x v="3"/>
    <n v="1"/>
    <n v="4"/>
    <n v="78"/>
    <n v="2"/>
    <n v="3"/>
    <n v="4"/>
    <n v="10903"/>
    <n v="9129"/>
    <n v="3"/>
    <n v="16"/>
    <n v="3"/>
    <n v="1"/>
    <n v="80"/>
    <n v="0"/>
    <n v="16"/>
    <n v="3"/>
    <n v="13"/>
    <n v="10"/>
    <n v="4"/>
    <n v="8"/>
  </r>
  <r>
    <s v="No"/>
    <s v="Travel_Frequently"/>
    <x v="0"/>
    <s v="Current Employees"/>
    <x v="0"/>
    <x v="2"/>
    <s v="STAFF-900"/>
    <x v="648"/>
    <x v="0"/>
    <x v="6"/>
    <x v="1"/>
    <s v="No"/>
    <s v="Y"/>
    <n v="3"/>
    <n v="-2"/>
    <n v="0"/>
    <x v="2"/>
    <n v="0"/>
    <m/>
    <n v="0"/>
    <n v="1"/>
    <n v="1231"/>
    <n v="21"/>
    <x v="0"/>
    <n v="1"/>
    <n v="3"/>
    <n v="54"/>
    <n v="3"/>
    <n v="1"/>
    <n v="4"/>
    <n v="2973"/>
    <n v="21222"/>
    <n v="5"/>
    <n v="15"/>
    <n v="3"/>
    <n v="2"/>
    <n v="80"/>
    <n v="1"/>
    <n v="10"/>
    <n v="3"/>
    <n v="5"/>
    <n v="4"/>
    <n v="0"/>
    <n v="0"/>
  </r>
  <r>
    <s v="No"/>
    <s v="Travel_Rarely"/>
    <x v="1"/>
    <s v="Current Employees"/>
    <x v="1"/>
    <x v="0"/>
    <s v="STAFF-901"/>
    <x v="649"/>
    <x v="0"/>
    <x v="7"/>
    <x v="0"/>
    <s v="No"/>
    <s v="Y"/>
    <n v="0"/>
    <n v="-2"/>
    <n v="0"/>
    <x v="16"/>
    <n v="0"/>
    <m/>
    <n v="0"/>
    <n v="1"/>
    <n v="102"/>
    <n v="23"/>
    <x v="2"/>
    <n v="1"/>
    <n v="4"/>
    <n v="72"/>
    <n v="3"/>
    <n v="4"/>
    <n v="1"/>
    <n v="14275"/>
    <n v="20206"/>
    <n v="6"/>
    <n v="18"/>
    <n v="3"/>
    <n v="3"/>
    <n v="80"/>
    <n v="0"/>
    <n v="33"/>
    <n v="3"/>
    <n v="12"/>
    <n v="9"/>
    <n v="3"/>
    <n v="8"/>
  </r>
  <r>
    <s v="No"/>
    <s v="Travel_Frequently"/>
    <x v="0"/>
    <s v="Current Employees"/>
    <x v="1"/>
    <x v="0"/>
    <s v="STAFF-902"/>
    <x v="650"/>
    <x v="0"/>
    <x v="4"/>
    <x v="1"/>
    <s v="No"/>
    <s v="Y"/>
    <n v="2"/>
    <n v="-2"/>
    <n v="0"/>
    <x v="23"/>
    <n v="0"/>
    <m/>
    <n v="0"/>
    <n v="1"/>
    <n v="422"/>
    <n v="1"/>
    <x v="3"/>
    <n v="1"/>
    <n v="4"/>
    <n v="33"/>
    <n v="3"/>
    <n v="2"/>
    <n v="1"/>
    <n v="5562"/>
    <n v="21782"/>
    <n v="4"/>
    <n v="13"/>
    <n v="3"/>
    <n v="2"/>
    <n v="80"/>
    <n v="1"/>
    <n v="12"/>
    <n v="2"/>
    <n v="5"/>
    <n v="2"/>
    <n v="2"/>
    <n v="2"/>
  </r>
  <r>
    <s v="No"/>
    <s v="Travel_Rarely"/>
    <x v="1"/>
    <s v="Current Employees"/>
    <x v="0"/>
    <x v="3"/>
    <s v="STAFF-903"/>
    <x v="651"/>
    <x v="0"/>
    <x v="0"/>
    <x v="1"/>
    <s v="Yes"/>
    <s v="Y"/>
    <n v="2"/>
    <n v="-2"/>
    <n v="0"/>
    <x v="40"/>
    <n v="0"/>
    <m/>
    <n v="0"/>
    <n v="1"/>
    <n v="249"/>
    <n v="2"/>
    <x v="0"/>
    <n v="1"/>
    <n v="3"/>
    <n v="35"/>
    <n v="3"/>
    <n v="2"/>
    <n v="2"/>
    <n v="4537"/>
    <n v="17783"/>
    <n v="0"/>
    <n v="22"/>
    <n v="4"/>
    <n v="1"/>
    <n v="80"/>
    <n v="1"/>
    <n v="8"/>
    <n v="3"/>
    <n v="7"/>
    <n v="6"/>
    <n v="7"/>
    <n v="7"/>
  </r>
  <r>
    <s v="No"/>
    <s v="Non-Travel"/>
    <x v="0"/>
    <s v="Current Employees"/>
    <x v="0"/>
    <x v="2"/>
    <s v="STAFF-904"/>
    <x v="652"/>
    <x v="1"/>
    <x v="0"/>
    <x v="0"/>
    <s v="Yes"/>
    <s v="Y"/>
    <n v="2"/>
    <n v="-2"/>
    <n v="0"/>
    <x v="2"/>
    <n v="0"/>
    <m/>
    <n v="0"/>
    <n v="1"/>
    <n v="1252"/>
    <n v="19"/>
    <x v="0"/>
    <n v="1"/>
    <n v="1"/>
    <n v="32"/>
    <n v="3"/>
    <n v="3"/>
    <n v="3"/>
    <n v="7642"/>
    <n v="4814"/>
    <n v="1"/>
    <n v="13"/>
    <n v="3"/>
    <n v="4"/>
    <n v="80"/>
    <n v="0"/>
    <n v="10"/>
    <n v="3"/>
    <n v="10"/>
    <n v="0"/>
    <n v="0"/>
    <n v="9"/>
  </r>
  <r>
    <s v="No"/>
    <s v="Non-Travel"/>
    <x v="1"/>
    <s v="Current Employees"/>
    <x v="1"/>
    <x v="0"/>
    <s v="STAFF-905"/>
    <x v="653"/>
    <x v="1"/>
    <x v="5"/>
    <x v="2"/>
    <s v="No"/>
    <s v="Y"/>
    <n v="3"/>
    <n v="-2"/>
    <n v="0"/>
    <x v="24"/>
    <n v="0"/>
    <m/>
    <n v="0"/>
    <n v="1"/>
    <n v="881"/>
    <n v="2"/>
    <x v="2"/>
    <n v="1"/>
    <n v="1"/>
    <n v="98"/>
    <n v="3"/>
    <n v="4"/>
    <n v="1"/>
    <n v="17924"/>
    <n v="4544"/>
    <n v="1"/>
    <n v="11"/>
    <n v="3"/>
    <n v="4"/>
    <n v="80"/>
    <n v="1"/>
    <n v="31"/>
    <n v="3"/>
    <n v="31"/>
    <n v="6"/>
    <n v="14"/>
    <n v="7"/>
  </r>
  <r>
    <s v="No"/>
    <s v="Travel_Rarely"/>
    <x v="0"/>
    <s v="Current Employees"/>
    <x v="2"/>
    <x v="0"/>
    <s v="STAFF-909"/>
    <x v="654"/>
    <x v="0"/>
    <x v="8"/>
    <x v="1"/>
    <s v="No"/>
    <s v="Y"/>
    <n v="2"/>
    <n v="-2"/>
    <n v="0"/>
    <x v="22"/>
    <n v="0"/>
    <m/>
    <n v="0"/>
    <n v="1"/>
    <n v="1383"/>
    <n v="2"/>
    <x v="3"/>
    <n v="1"/>
    <n v="4"/>
    <n v="42"/>
    <n v="2"/>
    <n v="2"/>
    <n v="1"/>
    <n v="5204"/>
    <n v="7790"/>
    <n v="8"/>
    <n v="11"/>
    <n v="3"/>
    <n v="3"/>
    <n v="80"/>
    <n v="2"/>
    <n v="13"/>
    <n v="3"/>
    <n v="5"/>
    <n v="4"/>
    <n v="0"/>
    <n v="4"/>
  </r>
  <r>
    <s v="No"/>
    <s v="Travel_Rarely"/>
    <x v="2"/>
    <s v="Current Employees"/>
    <x v="2"/>
    <x v="5"/>
    <s v="STAFF-910"/>
    <x v="655"/>
    <x v="1"/>
    <x v="8"/>
    <x v="2"/>
    <s v="Yes"/>
    <s v="Y"/>
    <n v="4"/>
    <n v="-2"/>
    <n v="0"/>
    <x v="3"/>
    <n v="0"/>
    <m/>
    <n v="0"/>
    <n v="1"/>
    <n v="1075"/>
    <n v="3"/>
    <x v="0"/>
    <n v="1"/>
    <n v="4"/>
    <n v="57"/>
    <n v="3"/>
    <n v="1"/>
    <n v="3"/>
    <n v="2277"/>
    <n v="22650"/>
    <n v="3"/>
    <n v="11"/>
    <n v="3"/>
    <n v="3"/>
    <n v="80"/>
    <n v="1"/>
    <n v="7"/>
    <n v="4"/>
    <n v="4"/>
    <n v="3"/>
    <n v="0"/>
    <n v="3"/>
  </r>
  <r>
    <s v="Yes"/>
    <s v="Travel_Rarely"/>
    <x v="2"/>
    <s v="Ex-Employees"/>
    <x v="1"/>
    <x v="0"/>
    <s v="STAFF-911"/>
    <x v="656"/>
    <x v="1"/>
    <x v="2"/>
    <x v="0"/>
    <s v="Yes"/>
    <s v="Y"/>
    <n v="2"/>
    <n v="-2"/>
    <n v="0"/>
    <x v="5"/>
    <n v="1"/>
    <n v="1"/>
    <n v="1"/>
    <n v="0"/>
    <n v="374"/>
    <n v="25"/>
    <x v="2"/>
    <n v="1"/>
    <n v="1"/>
    <n v="87"/>
    <n v="3"/>
    <n v="1"/>
    <n v="1"/>
    <n v="2795"/>
    <n v="18016"/>
    <n v="1"/>
    <n v="24"/>
    <n v="4"/>
    <n v="3"/>
    <n v="80"/>
    <n v="0"/>
    <n v="1"/>
    <n v="1"/>
    <n v="1"/>
    <n v="0"/>
    <n v="0"/>
    <n v="1"/>
  </r>
  <r>
    <s v="No"/>
    <s v="Travel_Rarely"/>
    <x v="2"/>
    <s v="Current Employees"/>
    <x v="1"/>
    <x v="2"/>
    <s v="STAFF-912"/>
    <x v="657"/>
    <x v="0"/>
    <x v="2"/>
    <x v="2"/>
    <s v="No"/>
    <s v="Y"/>
    <n v="5"/>
    <n v="-2"/>
    <n v="0"/>
    <x v="11"/>
    <n v="0"/>
    <m/>
    <n v="0"/>
    <n v="1"/>
    <n v="1086"/>
    <n v="7"/>
    <x v="1"/>
    <n v="1"/>
    <n v="1"/>
    <n v="62"/>
    <n v="2"/>
    <n v="1"/>
    <n v="4"/>
    <n v="2532"/>
    <n v="6054"/>
    <n v="6"/>
    <n v="14"/>
    <n v="3"/>
    <n v="3"/>
    <n v="80"/>
    <n v="3"/>
    <n v="8"/>
    <n v="3"/>
    <n v="4"/>
    <n v="3"/>
    <n v="0"/>
    <n v="3"/>
  </r>
  <r>
    <s v="No"/>
    <s v="Travel_Rarely"/>
    <x v="0"/>
    <s v="Current Employees"/>
    <x v="1"/>
    <x v="0"/>
    <s v="STAFF-913"/>
    <x v="658"/>
    <x v="1"/>
    <x v="1"/>
    <x v="1"/>
    <s v="Yes"/>
    <s v="Y"/>
    <n v="0"/>
    <n v="-2"/>
    <n v="0"/>
    <x v="20"/>
    <n v="0"/>
    <m/>
    <n v="0"/>
    <n v="1"/>
    <n v="661"/>
    <n v="9"/>
    <x v="0"/>
    <n v="1"/>
    <n v="2"/>
    <n v="61"/>
    <n v="3"/>
    <n v="1"/>
    <n v="1"/>
    <n v="2559"/>
    <n v="7508"/>
    <n v="1"/>
    <n v="13"/>
    <n v="3"/>
    <n v="4"/>
    <n v="80"/>
    <n v="0"/>
    <n v="8"/>
    <n v="3"/>
    <n v="8"/>
    <n v="7"/>
    <n v="7"/>
    <n v="1"/>
  </r>
  <r>
    <s v="No"/>
    <s v="Travel_Rarely"/>
    <x v="2"/>
    <s v="Current Employees"/>
    <x v="0"/>
    <x v="2"/>
    <s v="STAFF-916"/>
    <x v="659"/>
    <x v="1"/>
    <x v="0"/>
    <x v="0"/>
    <s v="No"/>
    <s v="Y"/>
    <n v="3"/>
    <n v="-2"/>
    <n v="0"/>
    <x v="14"/>
    <n v="0"/>
    <m/>
    <n v="0"/>
    <n v="1"/>
    <n v="821"/>
    <n v="5"/>
    <x v="2"/>
    <n v="1"/>
    <n v="1"/>
    <n v="98"/>
    <n v="3"/>
    <n v="2"/>
    <n v="4"/>
    <n v="4908"/>
    <n v="24252"/>
    <n v="1"/>
    <n v="14"/>
    <n v="3"/>
    <n v="2"/>
    <n v="80"/>
    <n v="0"/>
    <n v="4"/>
    <n v="3"/>
    <n v="4"/>
    <n v="2"/>
    <n v="0"/>
    <n v="2"/>
  </r>
  <r>
    <s v="Yes"/>
    <s v="Travel_Frequently"/>
    <x v="3"/>
    <s v="Ex-Employees"/>
    <x v="1"/>
    <x v="0"/>
    <s v="STAFF-918"/>
    <x v="660"/>
    <x v="1"/>
    <x v="2"/>
    <x v="2"/>
    <s v="Yes"/>
    <s v="Y"/>
    <n v="3"/>
    <n v="-2"/>
    <n v="0"/>
    <x v="34"/>
    <n v="1"/>
    <n v="1"/>
    <n v="1"/>
    <n v="0"/>
    <n v="781"/>
    <n v="2"/>
    <x v="1"/>
    <n v="1"/>
    <n v="4"/>
    <n v="57"/>
    <n v="2"/>
    <n v="1"/>
    <n v="1"/>
    <n v="2380"/>
    <n v="13384"/>
    <n v="9"/>
    <n v="14"/>
    <n v="3"/>
    <n v="4"/>
    <n v="80"/>
    <n v="1"/>
    <n v="3"/>
    <n v="2"/>
    <n v="1"/>
    <n v="0"/>
    <n v="0"/>
    <n v="0"/>
  </r>
  <r>
    <s v="No"/>
    <s v="Travel_Rarely"/>
    <x v="0"/>
    <s v="Current Employees"/>
    <x v="1"/>
    <x v="0"/>
    <s v="STAFF-920"/>
    <x v="661"/>
    <x v="0"/>
    <x v="3"/>
    <x v="2"/>
    <s v="No"/>
    <s v="Y"/>
    <n v="2"/>
    <n v="-2"/>
    <n v="0"/>
    <x v="23"/>
    <n v="0"/>
    <m/>
    <n v="0"/>
    <n v="1"/>
    <n v="177"/>
    <n v="8"/>
    <x v="3"/>
    <n v="1"/>
    <n v="1"/>
    <n v="55"/>
    <n v="3"/>
    <n v="2"/>
    <n v="1"/>
    <n v="4765"/>
    <n v="23814"/>
    <n v="4"/>
    <n v="21"/>
    <n v="4"/>
    <n v="3"/>
    <n v="80"/>
    <n v="1"/>
    <n v="4"/>
    <n v="4"/>
    <n v="1"/>
    <n v="0"/>
    <n v="0"/>
    <n v="0"/>
  </r>
  <r>
    <s v="Yes"/>
    <s v="Travel_Rarely"/>
    <x v="4"/>
    <s v="Ex-Employees"/>
    <x v="0"/>
    <x v="2"/>
    <s v="STAFF-922"/>
    <x v="662"/>
    <x v="0"/>
    <x v="6"/>
    <x v="0"/>
    <s v="No"/>
    <s v="Y"/>
    <n v="3"/>
    <n v="-2"/>
    <n v="0"/>
    <x v="35"/>
    <n v="1"/>
    <n v="1"/>
    <n v="1"/>
    <n v="0"/>
    <n v="500"/>
    <n v="2"/>
    <x v="3"/>
    <n v="1"/>
    <n v="3"/>
    <n v="49"/>
    <n v="2"/>
    <n v="1"/>
    <n v="3"/>
    <n v="2044"/>
    <n v="22052"/>
    <n v="1"/>
    <n v="13"/>
    <n v="3"/>
    <n v="4"/>
    <n v="80"/>
    <n v="0"/>
    <n v="2"/>
    <n v="2"/>
    <n v="2"/>
    <n v="2"/>
    <n v="0"/>
    <n v="2"/>
  </r>
  <r>
    <s v="Yes"/>
    <s v="Travel_Rarely"/>
    <x v="4"/>
    <s v="Ex-Employees"/>
    <x v="1"/>
    <x v="1"/>
    <s v="STAFF-923"/>
    <x v="663"/>
    <x v="0"/>
    <x v="1"/>
    <x v="0"/>
    <s v="No"/>
    <s v="Y"/>
    <n v="3"/>
    <n v="-2"/>
    <n v="0"/>
    <x v="18"/>
    <n v="1"/>
    <n v="1"/>
    <n v="1"/>
    <n v="0"/>
    <n v="1427"/>
    <n v="18"/>
    <x v="1"/>
    <n v="1"/>
    <n v="4"/>
    <n v="65"/>
    <n v="3"/>
    <n v="1"/>
    <n v="4"/>
    <n v="2693"/>
    <n v="8870"/>
    <n v="1"/>
    <n v="19"/>
    <n v="3"/>
    <n v="1"/>
    <n v="80"/>
    <n v="0"/>
    <n v="1"/>
    <n v="2"/>
    <n v="1"/>
    <n v="0"/>
    <n v="0"/>
    <n v="0"/>
  </r>
  <r>
    <s v="No"/>
    <s v="Travel_Rarely"/>
    <x v="0"/>
    <s v="Current Employees"/>
    <x v="1"/>
    <x v="0"/>
    <s v="STAFF-924"/>
    <x v="664"/>
    <x v="1"/>
    <x v="4"/>
    <x v="1"/>
    <s v="Yes"/>
    <s v="Y"/>
    <n v="2"/>
    <n v="-2"/>
    <n v="0"/>
    <x v="9"/>
    <n v="0"/>
    <m/>
    <n v="0"/>
    <n v="1"/>
    <n v="1425"/>
    <n v="14"/>
    <x v="1"/>
    <n v="1"/>
    <n v="3"/>
    <n v="68"/>
    <n v="3"/>
    <n v="2"/>
    <n v="1"/>
    <n v="6586"/>
    <n v="4821"/>
    <n v="0"/>
    <n v="17"/>
    <n v="3"/>
    <n v="1"/>
    <n v="80"/>
    <n v="1"/>
    <n v="17"/>
    <n v="2"/>
    <n v="16"/>
    <n v="8"/>
    <n v="4"/>
    <n v="11"/>
  </r>
  <r>
    <s v="No"/>
    <s v="Travel_Rarely"/>
    <x v="1"/>
    <s v="Current Employees"/>
    <x v="0"/>
    <x v="0"/>
    <s v="STAFF-925"/>
    <x v="665"/>
    <x v="0"/>
    <x v="6"/>
    <x v="0"/>
    <s v="Yes"/>
    <s v="Y"/>
    <n v="3"/>
    <n v="-2"/>
    <n v="0"/>
    <x v="40"/>
    <n v="0"/>
    <m/>
    <n v="0"/>
    <n v="1"/>
    <n v="1454"/>
    <n v="2"/>
    <x v="2"/>
    <n v="1"/>
    <n v="4"/>
    <n v="65"/>
    <n v="2"/>
    <n v="1"/>
    <n v="1"/>
    <n v="3294"/>
    <n v="13137"/>
    <n v="1"/>
    <n v="18"/>
    <n v="3"/>
    <n v="1"/>
    <n v="80"/>
    <n v="0"/>
    <n v="3"/>
    <n v="2"/>
    <n v="3"/>
    <n v="2"/>
    <n v="1"/>
    <n v="2"/>
  </r>
  <r>
    <s v="Yes"/>
    <s v="Travel_Rarely"/>
    <x v="4"/>
    <s v="Ex-Employees"/>
    <x v="1"/>
    <x v="0"/>
    <s v="STAFF-926"/>
    <x v="666"/>
    <x v="0"/>
    <x v="3"/>
    <x v="1"/>
    <s v="Yes"/>
    <s v="Y"/>
    <n v="3"/>
    <n v="-2"/>
    <n v="0"/>
    <x v="15"/>
    <n v="1"/>
    <n v="1"/>
    <n v="1"/>
    <n v="0"/>
    <n v="617"/>
    <n v="3"/>
    <x v="1"/>
    <n v="1"/>
    <n v="2"/>
    <n v="34"/>
    <n v="3"/>
    <n v="2"/>
    <n v="1"/>
    <n v="4171"/>
    <n v="10022"/>
    <n v="0"/>
    <n v="19"/>
    <n v="3"/>
    <n v="1"/>
    <n v="80"/>
    <n v="1"/>
    <n v="4"/>
    <n v="4"/>
    <n v="3"/>
    <n v="2"/>
    <n v="0"/>
    <n v="2"/>
  </r>
  <r>
    <s v="Yes"/>
    <s v="Travel_Rarely"/>
    <x v="0"/>
    <s v="Ex-Employees"/>
    <x v="1"/>
    <x v="0"/>
    <s v="STAFF-927"/>
    <x v="667"/>
    <x v="0"/>
    <x v="2"/>
    <x v="2"/>
    <s v="Yes"/>
    <s v="Y"/>
    <n v="1"/>
    <n v="-2"/>
    <n v="0"/>
    <x v="0"/>
    <n v="1"/>
    <n v="1"/>
    <n v="1"/>
    <n v="0"/>
    <n v="1085"/>
    <n v="2"/>
    <x v="2"/>
    <n v="1"/>
    <n v="2"/>
    <n v="57"/>
    <n v="1"/>
    <n v="1"/>
    <n v="1"/>
    <n v="2778"/>
    <n v="17725"/>
    <n v="4"/>
    <n v="13"/>
    <n v="3"/>
    <n v="3"/>
    <n v="80"/>
    <n v="1"/>
    <n v="10"/>
    <n v="2"/>
    <n v="7"/>
    <n v="7"/>
    <n v="1"/>
    <n v="0"/>
  </r>
  <r>
    <s v="No"/>
    <s v="Travel_Rarely"/>
    <x v="2"/>
    <s v="Current Employees"/>
    <x v="1"/>
    <x v="2"/>
    <s v="STAFF-930"/>
    <x v="668"/>
    <x v="0"/>
    <x v="1"/>
    <x v="2"/>
    <s v="No"/>
    <s v="Y"/>
    <n v="2"/>
    <n v="-2"/>
    <n v="0"/>
    <x v="14"/>
    <n v="0"/>
    <m/>
    <n v="0"/>
    <n v="1"/>
    <n v="995"/>
    <n v="9"/>
    <x v="3"/>
    <n v="1"/>
    <n v="3"/>
    <n v="77"/>
    <n v="3"/>
    <n v="1"/>
    <n v="3"/>
    <n v="2377"/>
    <n v="9834"/>
    <n v="5"/>
    <n v="18"/>
    <n v="3"/>
    <n v="2"/>
    <n v="80"/>
    <n v="1"/>
    <n v="6"/>
    <n v="3"/>
    <n v="2"/>
    <n v="2"/>
    <n v="2"/>
    <n v="2"/>
  </r>
  <r>
    <s v="Yes"/>
    <s v="Travel_Rarely"/>
    <x v="0"/>
    <s v="Ex-Employees"/>
    <x v="1"/>
    <x v="2"/>
    <s v="STAFF-932"/>
    <x v="669"/>
    <x v="1"/>
    <x v="2"/>
    <x v="1"/>
    <s v="Yes"/>
    <s v="Y"/>
    <n v="2"/>
    <n v="-2"/>
    <n v="0"/>
    <x v="22"/>
    <n v="1"/>
    <n v="1"/>
    <n v="1"/>
    <n v="0"/>
    <n v="1122"/>
    <n v="6"/>
    <x v="3"/>
    <n v="1"/>
    <n v="4"/>
    <n v="70"/>
    <n v="3"/>
    <n v="1"/>
    <n v="3"/>
    <n v="2404"/>
    <n v="4303"/>
    <n v="7"/>
    <n v="21"/>
    <n v="4"/>
    <n v="4"/>
    <n v="80"/>
    <n v="0"/>
    <n v="8"/>
    <n v="1"/>
    <n v="2"/>
    <n v="2"/>
    <n v="2"/>
    <n v="2"/>
  </r>
  <r>
    <s v="No"/>
    <s v="Travel_Rarely"/>
    <x v="2"/>
    <s v="Current Employees"/>
    <x v="1"/>
    <x v="0"/>
    <s v="STAFF-933"/>
    <x v="670"/>
    <x v="0"/>
    <x v="1"/>
    <x v="0"/>
    <s v="No"/>
    <s v="Y"/>
    <n v="2"/>
    <n v="-2"/>
    <n v="0"/>
    <x v="4"/>
    <n v="0"/>
    <m/>
    <n v="0"/>
    <n v="1"/>
    <n v="618"/>
    <n v="4"/>
    <x v="3"/>
    <n v="1"/>
    <n v="2"/>
    <n v="76"/>
    <n v="3"/>
    <n v="1"/>
    <n v="1"/>
    <n v="2318"/>
    <n v="17808"/>
    <n v="1"/>
    <n v="19"/>
    <n v="3"/>
    <n v="3"/>
    <n v="80"/>
    <n v="0"/>
    <n v="1"/>
    <n v="3"/>
    <n v="1"/>
    <n v="1"/>
    <n v="0"/>
    <n v="0"/>
  </r>
  <r>
    <s v="No"/>
    <s v="Travel_Rarely"/>
    <x v="2"/>
    <s v="Current Employees"/>
    <x v="1"/>
    <x v="0"/>
    <s v="STAFF-934"/>
    <x v="671"/>
    <x v="1"/>
    <x v="2"/>
    <x v="2"/>
    <s v="No"/>
    <s v="Y"/>
    <n v="3"/>
    <n v="-2"/>
    <n v="0"/>
    <x v="13"/>
    <n v="0"/>
    <m/>
    <n v="0"/>
    <n v="1"/>
    <n v="546"/>
    <n v="10"/>
    <x v="3"/>
    <n v="1"/>
    <n v="2"/>
    <n v="83"/>
    <n v="3"/>
    <n v="1"/>
    <n v="1"/>
    <n v="2008"/>
    <n v="6896"/>
    <n v="1"/>
    <n v="14"/>
    <n v="3"/>
    <n v="2"/>
    <n v="80"/>
    <n v="2"/>
    <n v="1"/>
    <n v="3"/>
    <n v="1"/>
    <n v="0"/>
    <n v="1"/>
    <n v="0"/>
  </r>
  <r>
    <s v="No"/>
    <s v="Travel_Rarely"/>
    <x v="0"/>
    <s v="Current Employees"/>
    <x v="0"/>
    <x v="2"/>
    <s v="STAFF-936"/>
    <x v="672"/>
    <x v="0"/>
    <x v="0"/>
    <x v="0"/>
    <s v="No"/>
    <s v="Y"/>
    <n v="6"/>
    <n v="-2"/>
    <n v="0"/>
    <x v="19"/>
    <n v="0"/>
    <m/>
    <n v="0"/>
    <n v="1"/>
    <n v="462"/>
    <n v="14"/>
    <x v="0"/>
    <n v="1"/>
    <n v="3"/>
    <n v="68"/>
    <n v="2"/>
    <n v="2"/>
    <n v="3"/>
    <n v="6244"/>
    <n v="7824"/>
    <n v="7"/>
    <n v="17"/>
    <n v="3"/>
    <n v="1"/>
    <n v="80"/>
    <n v="0"/>
    <n v="10"/>
    <n v="3"/>
    <n v="5"/>
    <n v="4"/>
    <n v="0"/>
    <n v="3"/>
  </r>
  <r>
    <s v="No"/>
    <s v="Travel_Rarely"/>
    <x v="2"/>
    <s v="Current Employees"/>
    <x v="1"/>
    <x v="1"/>
    <s v="STAFF-939"/>
    <x v="673"/>
    <x v="1"/>
    <x v="1"/>
    <x v="0"/>
    <s v="Yes"/>
    <s v="Y"/>
    <n v="1"/>
    <n v="-2"/>
    <n v="0"/>
    <x v="3"/>
    <n v="0"/>
    <m/>
    <n v="0"/>
    <n v="1"/>
    <n v="1198"/>
    <n v="1"/>
    <x v="2"/>
    <n v="1"/>
    <n v="3"/>
    <n v="100"/>
    <n v="2"/>
    <n v="1"/>
    <n v="3"/>
    <n v="2799"/>
    <n v="3339"/>
    <n v="3"/>
    <n v="11"/>
    <n v="3"/>
    <n v="2"/>
    <n v="80"/>
    <n v="0"/>
    <n v="6"/>
    <n v="3"/>
    <n v="3"/>
    <n v="2"/>
    <n v="0"/>
    <n v="2"/>
  </r>
  <r>
    <s v="No"/>
    <s v="Travel_Rarely"/>
    <x v="3"/>
    <s v="Current Employees"/>
    <x v="1"/>
    <x v="4"/>
    <s v="STAFF-940"/>
    <x v="674"/>
    <x v="0"/>
    <x v="4"/>
    <x v="2"/>
    <s v="Yes"/>
    <s v="Y"/>
    <n v="3"/>
    <n v="-2"/>
    <n v="0"/>
    <x v="34"/>
    <n v="0"/>
    <m/>
    <n v="0"/>
    <n v="1"/>
    <n v="1272"/>
    <n v="5"/>
    <x v="3"/>
    <n v="1"/>
    <n v="4"/>
    <n v="37"/>
    <n v="2"/>
    <n v="3"/>
    <n v="4"/>
    <n v="10552"/>
    <n v="9255"/>
    <n v="2"/>
    <n v="13"/>
    <n v="3"/>
    <n v="4"/>
    <n v="80"/>
    <n v="1"/>
    <n v="24"/>
    <n v="3"/>
    <n v="6"/>
    <n v="0"/>
    <n v="0"/>
    <n v="4"/>
  </r>
  <r>
    <s v="No"/>
    <s v="Travel_Rarely"/>
    <x v="2"/>
    <s v="Current Employees"/>
    <x v="0"/>
    <x v="0"/>
    <s v="STAFF-941"/>
    <x v="675"/>
    <x v="1"/>
    <x v="6"/>
    <x v="1"/>
    <s v="No"/>
    <s v="Y"/>
    <n v="2"/>
    <n v="-2"/>
    <n v="0"/>
    <x v="12"/>
    <n v="0"/>
    <m/>
    <n v="0"/>
    <n v="1"/>
    <n v="154"/>
    <n v="7"/>
    <x v="2"/>
    <n v="1"/>
    <n v="2"/>
    <n v="41"/>
    <n v="2"/>
    <n v="1"/>
    <n v="1"/>
    <n v="2329"/>
    <n v="11737"/>
    <n v="3"/>
    <n v="15"/>
    <n v="3"/>
    <n v="2"/>
    <n v="80"/>
    <n v="0"/>
    <n v="13"/>
    <n v="4"/>
    <n v="7"/>
    <n v="7"/>
    <n v="5"/>
    <n v="2"/>
  </r>
  <r>
    <s v="No"/>
    <s v="Travel_Rarely"/>
    <x v="0"/>
    <s v="Current Employees"/>
    <x v="1"/>
    <x v="0"/>
    <s v="STAFF-942"/>
    <x v="676"/>
    <x v="0"/>
    <x v="4"/>
    <x v="1"/>
    <s v="Yes"/>
    <s v="Y"/>
    <n v="2"/>
    <n v="-2"/>
    <n v="0"/>
    <x v="10"/>
    <n v="0"/>
    <m/>
    <n v="0"/>
    <n v="1"/>
    <n v="1137"/>
    <n v="21"/>
    <x v="1"/>
    <n v="1"/>
    <n v="4"/>
    <n v="51"/>
    <n v="3"/>
    <n v="2"/>
    <n v="1"/>
    <n v="4014"/>
    <n v="19170"/>
    <n v="1"/>
    <n v="25"/>
    <n v="4"/>
    <n v="4"/>
    <n v="80"/>
    <n v="1"/>
    <n v="10"/>
    <n v="1"/>
    <n v="10"/>
    <n v="6"/>
    <n v="0"/>
    <n v="7"/>
  </r>
  <r>
    <s v="No"/>
    <s v="Travel_Rarely"/>
    <x v="1"/>
    <s v="Current Employees"/>
    <x v="1"/>
    <x v="1"/>
    <s v="STAFF-944"/>
    <x v="677"/>
    <x v="0"/>
    <x v="2"/>
    <x v="1"/>
    <s v="No"/>
    <s v="Y"/>
    <n v="3"/>
    <n v="-2"/>
    <n v="0"/>
    <x v="1"/>
    <n v="0"/>
    <m/>
    <n v="0"/>
    <n v="1"/>
    <n v="527"/>
    <n v="8"/>
    <x v="0"/>
    <n v="1"/>
    <n v="1"/>
    <n v="51"/>
    <n v="3"/>
    <n v="3"/>
    <n v="3"/>
    <n v="7403"/>
    <n v="22477"/>
    <n v="4"/>
    <n v="11"/>
    <n v="3"/>
    <n v="3"/>
    <n v="80"/>
    <n v="1"/>
    <n v="29"/>
    <n v="2"/>
    <n v="26"/>
    <n v="9"/>
    <n v="1"/>
    <n v="7"/>
  </r>
  <r>
    <s v="No"/>
    <s v="Travel_Rarely"/>
    <x v="1"/>
    <s v="Current Employees"/>
    <x v="1"/>
    <x v="2"/>
    <s v="STAFF-945"/>
    <x v="678"/>
    <x v="1"/>
    <x v="1"/>
    <x v="1"/>
    <s v="No"/>
    <s v="Y"/>
    <n v="2"/>
    <n v="-2"/>
    <n v="0"/>
    <x v="26"/>
    <n v="0"/>
    <m/>
    <n v="0"/>
    <n v="1"/>
    <n v="1469"/>
    <n v="20"/>
    <x v="2"/>
    <n v="1"/>
    <n v="4"/>
    <n v="51"/>
    <n v="3"/>
    <n v="1"/>
    <n v="3"/>
    <n v="2259"/>
    <n v="5543"/>
    <n v="4"/>
    <n v="17"/>
    <n v="3"/>
    <n v="1"/>
    <n v="80"/>
    <n v="2"/>
    <n v="13"/>
    <n v="2"/>
    <n v="0"/>
    <n v="0"/>
    <n v="0"/>
    <n v="0"/>
  </r>
  <r>
    <s v="No"/>
    <s v="Non-Travel"/>
    <x v="2"/>
    <s v="Current Employees"/>
    <x v="0"/>
    <x v="3"/>
    <s v="STAFF-947"/>
    <x v="679"/>
    <x v="0"/>
    <x v="0"/>
    <x v="1"/>
    <s v="No"/>
    <s v="Y"/>
    <n v="2"/>
    <n v="-2"/>
    <n v="0"/>
    <x v="12"/>
    <n v="0"/>
    <m/>
    <n v="0"/>
    <n v="1"/>
    <n v="1188"/>
    <n v="20"/>
    <x v="0"/>
    <n v="1"/>
    <n v="4"/>
    <n v="45"/>
    <n v="3"/>
    <n v="2"/>
    <n v="2"/>
    <n v="6932"/>
    <n v="24406"/>
    <n v="1"/>
    <n v="13"/>
    <n v="3"/>
    <n v="4"/>
    <n v="80"/>
    <n v="1"/>
    <n v="9"/>
    <n v="2"/>
    <n v="9"/>
    <n v="8"/>
    <n v="0"/>
    <n v="0"/>
  </r>
  <r>
    <s v="No"/>
    <s v="Travel_Rarely"/>
    <x v="0"/>
    <s v="Current Employees"/>
    <x v="1"/>
    <x v="1"/>
    <s v="STAFF-949"/>
    <x v="680"/>
    <x v="1"/>
    <x v="1"/>
    <x v="0"/>
    <s v="No"/>
    <s v="Y"/>
    <n v="6"/>
    <n v="-2"/>
    <n v="0"/>
    <x v="9"/>
    <n v="0"/>
    <m/>
    <n v="0"/>
    <n v="1"/>
    <n v="188"/>
    <n v="7"/>
    <x v="2"/>
    <n v="1"/>
    <n v="2"/>
    <n v="65"/>
    <n v="3"/>
    <n v="1"/>
    <n v="4"/>
    <n v="4678"/>
    <n v="23293"/>
    <n v="2"/>
    <n v="18"/>
    <n v="3"/>
    <n v="3"/>
    <n v="80"/>
    <n v="0"/>
    <n v="8"/>
    <n v="3"/>
    <n v="6"/>
    <n v="2"/>
    <n v="0"/>
    <n v="1"/>
  </r>
  <r>
    <s v="No"/>
    <s v="Travel_Rarely"/>
    <x v="0"/>
    <s v="Current Employees"/>
    <x v="1"/>
    <x v="4"/>
    <s v="STAFF-950"/>
    <x v="681"/>
    <x v="0"/>
    <x v="7"/>
    <x v="1"/>
    <s v="No"/>
    <s v="Y"/>
    <n v="3"/>
    <n v="-2"/>
    <n v="0"/>
    <x v="8"/>
    <n v="0"/>
    <m/>
    <n v="0"/>
    <n v="1"/>
    <n v="1333"/>
    <n v="1"/>
    <x v="3"/>
    <n v="1"/>
    <n v="4"/>
    <n v="80"/>
    <n v="3"/>
    <n v="3"/>
    <n v="4"/>
    <n v="13582"/>
    <n v="16292"/>
    <n v="1"/>
    <n v="13"/>
    <n v="3"/>
    <n v="2"/>
    <n v="80"/>
    <n v="1"/>
    <n v="15"/>
    <n v="3"/>
    <n v="15"/>
    <n v="12"/>
    <n v="5"/>
    <n v="11"/>
  </r>
  <r>
    <s v="No"/>
    <s v="Non-Travel"/>
    <x v="2"/>
    <s v="Current Employees"/>
    <x v="1"/>
    <x v="0"/>
    <s v="STAFF-951"/>
    <x v="682"/>
    <x v="0"/>
    <x v="2"/>
    <x v="1"/>
    <s v="No"/>
    <s v="Y"/>
    <n v="3"/>
    <n v="-2"/>
    <n v="0"/>
    <x v="5"/>
    <n v="0"/>
    <m/>
    <n v="0"/>
    <n v="1"/>
    <n v="1184"/>
    <n v="1"/>
    <x v="3"/>
    <n v="1"/>
    <n v="3"/>
    <n v="70"/>
    <n v="2"/>
    <n v="1"/>
    <n v="1"/>
    <n v="2332"/>
    <n v="3974"/>
    <n v="6"/>
    <n v="20"/>
    <n v="4"/>
    <n v="3"/>
    <n v="80"/>
    <n v="0"/>
    <n v="5"/>
    <n v="3"/>
    <n v="3"/>
    <n v="0"/>
    <n v="0"/>
    <n v="2"/>
  </r>
  <r>
    <s v="Yes"/>
    <s v="Travel_Rarely"/>
    <x v="2"/>
    <s v="Ex-Employees"/>
    <x v="0"/>
    <x v="3"/>
    <s v="STAFF-952"/>
    <x v="683"/>
    <x v="1"/>
    <x v="6"/>
    <x v="1"/>
    <s v="Yes"/>
    <s v="Y"/>
    <n v="2"/>
    <n v="-2"/>
    <n v="0"/>
    <x v="36"/>
    <n v="1"/>
    <n v="1"/>
    <n v="1"/>
    <n v="0"/>
    <n v="867"/>
    <n v="19"/>
    <x v="0"/>
    <n v="1"/>
    <n v="3"/>
    <n v="36"/>
    <n v="2"/>
    <n v="1"/>
    <n v="2"/>
    <n v="2413"/>
    <n v="18798"/>
    <n v="1"/>
    <n v="18"/>
    <n v="3"/>
    <n v="3"/>
    <n v="80"/>
    <n v="3"/>
    <n v="1"/>
    <n v="3"/>
    <n v="1"/>
    <n v="0"/>
    <n v="0"/>
    <n v="0"/>
  </r>
  <r>
    <s v="No"/>
    <s v="Travel_Rarely"/>
    <x v="0"/>
    <s v="Current Employees"/>
    <x v="0"/>
    <x v="3"/>
    <s v="STAFF-954"/>
    <x v="684"/>
    <x v="1"/>
    <x v="0"/>
    <x v="2"/>
    <s v="No"/>
    <s v="Y"/>
    <n v="2"/>
    <n v="-2"/>
    <n v="0"/>
    <x v="32"/>
    <n v="0"/>
    <m/>
    <n v="0"/>
    <n v="1"/>
    <n v="658"/>
    <n v="10"/>
    <x v="2"/>
    <n v="1"/>
    <n v="1"/>
    <n v="67"/>
    <n v="2"/>
    <n v="3"/>
    <n v="2"/>
    <n v="9705"/>
    <n v="20652"/>
    <n v="2"/>
    <n v="12"/>
    <n v="3"/>
    <n v="2"/>
    <n v="80"/>
    <n v="1"/>
    <n v="11"/>
    <n v="2"/>
    <n v="1"/>
    <n v="0"/>
    <n v="0"/>
    <n v="0"/>
  </r>
  <r>
    <s v="No"/>
    <s v="Travel_Frequently"/>
    <x v="2"/>
    <s v="Current Employees"/>
    <x v="0"/>
    <x v="2"/>
    <s v="STAFF-956"/>
    <x v="685"/>
    <x v="1"/>
    <x v="0"/>
    <x v="0"/>
    <s v="No"/>
    <s v="Y"/>
    <n v="2"/>
    <n v="-2"/>
    <n v="0"/>
    <x v="25"/>
    <n v="0"/>
    <m/>
    <n v="0"/>
    <n v="1"/>
    <n v="1283"/>
    <n v="1"/>
    <x v="3"/>
    <n v="1"/>
    <n v="3"/>
    <n v="52"/>
    <n v="2"/>
    <n v="2"/>
    <n v="3"/>
    <n v="4294"/>
    <n v="11148"/>
    <n v="1"/>
    <n v="12"/>
    <n v="3"/>
    <n v="2"/>
    <n v="80"/>
    <n v="0"/>
    <n v="7"/>
    <n v="3"/>
    <n v="7"/>
    <n v="7"/>
    <n v="0"/>
    <n v="7"/>
  </r>
  <r>
    <s v="No"/>
    <s v="Travel_Rarely"/>
    <x v="0"/>
    <s v="Current Employees"/>
    <x v="1"/>
    <x v="2"/>
    <s v="STAFF-957"/>
    <x v="686"/>
    <x v="1"/>
    <x v="2"/>
    <x v="0"/>
    <s v="Yes"/>
    <s v="Y"/>
    <n v="3"/>
    <n v="-2"/>
    <n v="0"/>
    <x v="0"/>
    <n v="0"/>
    <m/>
    <n v="0"/>
    <n v="1"/>
    <n v="263"/>
    <n v="6"/>
    <x v="3"/>
    <n v="1"/>
    <n v="4"/>
    <n v="59"/>
    <n v="3"/>
    <n v="1"/>
    <n v="3"/>
    <n v="4721"/>
    <n v="3119"/>
    <n v="2"/>
    <n v="13"/>
    <n v="3"/>
    <n v="3"/>
    <n v="80"/>
    <n v="0"/>
    <n v="20"/>
    <n v="3"/>
    <n v="18"/>
    <n v="13"/>
    <n v="2"/>
    <n v="17"/>
  </r>
  <r>
    <s v="No"/>
    <s v="Travel_Rarely"/>
    <x v="0"/>
    <s v="Current Employees"/>
    <x v="1"/>
    <x v="2"/>
    <s v="STAFF-958"/>
    <x v="687"/>
    <x v="1"/>
    <x v="2"/>
    <x v="0"/>
    <s v="No"/>
    <s v="Y"/>
    <n v="6"/>
    <n v="-2"/>
    <n v="0"/>
    <x v="9"/>
    <n v="0"/>
    <m/>
    <n v="0"/>
    <n v="1"/>
    <n v="938"/>
    <n v="2"/>
    <x v="2"/>
    <n v="1"/>
    <n v="3"/>
    <n v="79"/>
    <n v="3"/>
    <n v="1"/>
    <n v="3"/>
    <n v="2519"/>
    <n v="12287"/>
    <n v="4"/>
    <n v="21"/>
    <n v="4"/>
    <n v="3"/>
    <n v="80"/>
    <n v="0"/>
    <n v="16"/>
    <n v="3"/>
    <n v="11"/>
    <n v="8"/>
    <n v="3"/>
    <n v="9"/>
  </r>
  <r>
    <s v="Yes"/>
    <s v="Travel_Rarely"/>
    <x v="4"/>
    <s v="Ex-Employees"/>
    <x v="0"/>
    <x v="1"/>
    <s v="STAFF-959"/>
    <x v="688"/>
    <x v="1"/>
    <x v="6"/>
    <x v="0"/>
    <s v="Yes"/>
    <s v="Y"/>
    <n v="3"/>
    <n v="-2"/>
    <n v="0"/>
    <x v="37"/>
    <n v="1"/>
    <n v="1"/>
    <n v="1"/>
    <n v="0"/>
    <n v="419"/>
    <n v="21"/>
    <x v="3"/>
    <n v="1"/>
    <n v="4"/>
    <n v="37"/>
    <n v="2"/>
    <n v="1"/>
    <n v="3"/>
    <n v="2121"/>
    <n v="9947"/>
    <n v="1"/>
    <n v="13"/>
    <n v="3"/>
    <n v="2"/>
    <n v="80"/>
    <n v="0"/>
    <n v="1"/>
    <n v="4"/>
    <n v="1"/>
    <n v="0"/>
    <n v="0"/>
    <n v="0"/>
  </r>
  <r>
    <s v="Yes"/>
    <s v="Travel_Rarely"/>
    <x v="4"/>
    <s v="Ex-Employees"/>
    <x v="1"/>
    <x v="4"/>
    <s v="STAFF-960"/>
    <x v="689"/>
    <x v="1"/>
    <x v="2"/>
    <x v="0"/>
    <s v="No"/>
    <s v="Y"/>
    <n v="2"/>
    <n v="-2"/>
    <n v="0"/>
    <x v="35"/>
    <n v="1"/>
    <n v="1"/>
    <n v="1"/>
    <n v="0"/>
    <n v="129"/>
    <n v="4"/>
    <x v="3"/>
    <n v="1"/>
    <n v="4"/>
    <n v="84"/>
    <n v="3"/>
    <n v="1"/>
    <n v="4"/>
    <n v="2973"/>
    <n v="13008"/>
    <n v="1"/>
    <n v="19"/>
    <n v="3"/>
    <n v="2"/>
    <n v="80"/>
    <n v="0"/>
    <n v="1"/>
    <n v="3"/>
    <n v="1"/>
    <n v="0"/>
    <n v="0"/>
    <n v="0"/>
  </r>
  <r>
    <s v="No"/>
    <s v="Travel_Rarely"/>
    <x v="2"/>
    <s v="Current Employees"/>
    <x v="1"/>
    <x v="2"/>
    <s v="STAFF-961"/>
    <x v="690"/>
    <x v="0"/>
    <x v="4"/>
    <x v="1"/>
    <s v="Yes"/>
    <s v="Y"/>
    <n v="2"/>
    <n v="-2"/>
    <n v="0"/>
    <x v="12"/>
    <n v="0"/>
    <m/>
    <n v="0"/>
    <n v="1"/>
    <n v="616"/>
    <n v="12"/>
    <x v="3"/>
    <n v="1"/>
    <n v="4"/>
    <n v="41"/>
    <n v="3"/>
    <n v="2"/>
    <n v="4"/>
    <n v="5855"/>
    <n v="17369"/>
    <n v="0"/>
    <n v="11"/>
    <n v="3"/>
    <n v="3"/>
    <n v="80"/>
    <n v="2"/>
    <n v="10"/>
    <n v="1"/>
    <n v="9"/>
    <n v="7"/>
    <n v="8"/>
    <n v="5"/>
  </r>
  <r>
    <s v="No"/>
    <s v="Travel_Frequently"/>
    <x v="0"/>
    <s v="Current Employees"/>
    <x v="1"/>
    <x v="2"/>
    <s v="STAFF-964"/>
    <x v="691"/>
    <x v="1"/>
    <x v="1"/>
    <x v="2"/>
    <s v="Yes"/>
    <s v="Y"/>
    <n v="2"/>
    <n v="-2"/>
    <n v="0"/>
    <x v="32"/>
    <n v="0"/>
    <m/>
    <n v="0"/>
    <n v="1"/>
    <n v="1469"/>
    <n v="9"/>
    <x v="2"/>
    <n v="1"/>
    <n v="4"/>
    <n v="35"/>
    <n v="3"/>
    <n v="1"/>
    <n v="3"/>
    <n v="3617"/>
    <n v="25063"/>
    <n v="8"/>
    <n v="14"/>
    <n v="3"/>
    <n v="4"/>
    <n v="80"/>
    <n v="1"/>
    <n v="3"/>
    <n v="3"/>
    <n v="1"/>
    <n v="1"/>
    <n v="0"/>
    <n v="0"/>
  </r>
  <r>
    <s v="No"/>
    <s v="Travel_Rarely"/>
    <x v="2"/>
    <s v="Current Employees"/>
    <x v="1"/>
    <x v="2"/>
    <s v="STAFF-966"/>
    <x v="692"/>
    <x v="0"/>
    <x v="3"/>
    <x v="1"/>
    <s v="No"/>
    <s v="Y"/>
    <n v="2"/>
    <n v="-2"/>
    <n v="0"/>
    <x v="5"/>
    <n v="0"/>
    <m/>
    <n v="0"/>
    <n v="1"/>
    <n v="498"/>
    <n v="3"/>
    <x v="2"/>
    <n v="1"/>
    <n v="3"/>
    <n v="93"/>
    <n v="3"/>
    <n v="2"/>
    <n v="3"/>
    <n v="6725"/>
    <n v="13554"/>
    <n v="1"/>
    <n v="12"/>
    <n v="3"/>
    <n v="3"/>
    <n v="80"/>
    <n v="1"/>
    <n v="8"/>
    <n v="4"/>
    <n v="8"/>
    <n v="7"/>
    <n v="6"/>
    <n v="3"/>
  </r>
  <r>
    <s v="Yes"/>
    <s v="Travel_Rarely"/>
    <x v="0"/>
    <s v="Ex-Employees"/>
    <x v="0"/>
    <x v="0"/>
    <s v="STAFF-967"/>
    <x v="693"/>
    <x v="1"/>
    <x v="0"/>
    <x v="1"/>
    <s v="Yes"/>
    <s v="Y"/>
    <n v="6"/>
    <n v="-2"/>
    <n v="0"/>
    <x v="9"/>
    <n v="1"/>
    <n v="1"/>
    <n v="1"/>
    <n v="0"/>
    <n v="530"/>
    <n v="3"/>
    <x v="1"/>
    <n v="1"/>
    <n v="3"/>
    <n v="51"/>
    <n v="2"/>
    <n v="3"/>
    <n v="1"/>
    <n v="10325"/>
    <n v="5518"/>
    <n v="1"/>
    <n v="11"/>
    <n v="3"/>
    <n v="1"/>
    <n v="80"/>
    <n v="1"/>
    <n v="16"/>
    <n v="3"/>
    <n v="16"/>
    <n v="7"/>
    <n v="3"/>
    <n v="7"/>
  </r>
  <r>
    <s v="No"/>
    <s v="Travel_Rarely"/>
    <x v="2"/>
    <s v="Current Employees"/>
    <x v="1"/>
    <x v="0"/>
    <s v="STAFF-969"/>
    <x v="694"/>
    <x v="0"/>
    <x v="4"/>
    <x v="0"/>
    <s v="No"/>
    <s v="Y"/>
    <n v="3"/>
    <n v="-2"/>
    <n v="0"/>
    <x v="3"/>
    <n v="0"/>
    <m/>
    <n v="0"/>
    <n v="1"/>
    <n v="1069"/>
    <n v="1"/>
    <x v="3"/>
    <n v="1"/>
    <n v="2"/>
    <n v="42"/>
    <n v="2"/>
    <n v="2"/>
    <n v="1"/>
    <n v="6949"/>
    <n v="12291"/>
    <n v="0"/>
    <n v="14"/>
    <n v="3"/>
    <n v="1"/>
    <n v="80"/>
    <n v="0"/>
    <n v="6"/>
    <n v="3"/>
    <n v="5"/>
    <n v="0"/>
    <n v="1"/>
    <n v="4"/>
  </r>
  <r>
    <s v="Yes"/>
    <s v="Travel_Rarely"/>
    <x v="0"/>
    <s v="Ex-Employees"/>
    <x v="0"/>
    <x v="0"/>
    <s v="STAFF-970"/>
    <x v="695"/>
    <x v="1"/>
    <x v="0"/>
    <x v="1"/>
    <s v="No"/>
    <s v="Y"/>
    <n v="2"/>
    <n v="-2"/>
    <n v="0"/>
    <x v="2"/>
    <n v="1"/>
    <n v="1"/>
    <n v="1"/>
    <n v="0"/>
    <n v="625"/>
    <n v="1"/>
    <x v="2"/>
    <n v="1"/>
    <n v="1"/>
    <n v="46"/>
    <n v="2"/>
    <n v="3"/>
    <n v="1"/>
    <n v="10609"/>
    <n v="14922"/>
    <n v="5"/>
    <n v="11"/>
    <n v="3"/>
    <n v="3"/>
    <n v="80"/>
    <n v="0"/>
    <n v="17"/>
    <n v="1"/>
    <n v="14"/>
    <n v="1"/>
    <n v="11"/>
    <n v="7"/>
  </r>
  <r>
    <s v="No"/>
    <s v="Non-Travel"/>
    <x v="1"/>
    <s v="Current Employees"/>
    <x v="1"/>
    <x v="0"/>
    <s v="STAFF-972"/>
    <x v="696"/>
    <x v="1"/>
    <x v="2"/>
    <x v="1"/>
    <s v="No"/>
    <s v="Y"/>
    <n v="5"/>
    <n v="-2"/>
    <n v="0"/>
    <x v="28"/>
    <n v="0"/>
    <m/>
    <n v="0"/>
    <n v="1"/>
    <n v="805"/>
    <n v="4"/>
    <x v="0"/>
    <n v="1"/>
    <n v="3"/>
    <n v="57"/>
    <n v="3"/>
    <n v="2"/>
    <n v="1"/>
    <n v="4447"/>
    <n v="23163"/>
    <n v="1"/>
    <n v="12"/>
    <n v="3"/>
    <n v="2"/>
    <n v="80"/>
    <n v="0"/>
    <n v="9"/>
    <n v="2"/>
    <n v="9"/>
    <n v="7"/>
    <n v="0"/>
    <n v="8"/>
  </r>
  <r>
    <s v="No"/>
    <s v="Travel_Frequently"/>
    <x v="2"/>
    <s v="Current Employees"/>
    <x v="0"/>
    <x v="4"/>
    <s v="STAFF-974"/>
    <x v="697"/>
    <x v="0"/>
    <x v="6"/>
    <x v="1"/>
    <s v="No"/>
    <s v="Y"/>
    <n v="5"/>
    <n v="-2"/>
    <n v="0"/>
    <x v="11"/>
    <n v="0"/>
    <m/>
    <n v="0"/>
    <n v="1"/>
    <n v="1404"/>
    <n v="20"/>
    <x v="3"/>
    <n v="1"/>
    <n v="4"/>
    <n v="84"/>
    <n v="3"/>
    <n v="1"/>
    <n v="4"/>
    <n v="2157"/>
    <n v="18203"/>
    <n v="1"/>
    <n v="15"/>
    <n v="3"/>
    <n v="2"/>
    <n v="80"/>
    <n v="1"/>
    <n v="3"/>
    <n v="3"/>
    <n v="3"/>
    <n v="1"/>
    <n v="0"/>
    <n v="2"/>
  </r>
  <r>
    <s v="No"/>
    <s v="Travel_Rarely"/>
    <x v="0"/>
    <s v="Current Employees"/>
    <x v="0"/>
    <x v="2"/>
    <s v="STAFF-975"/>
    <x v="698"/>
    <x v="0"/>
    <x v="0"/>
    <x v="1"/>
    <s v="No"/>
    <s v="Y"/>
    <n v="3"/>
    <n v="-2"/>
    <n v="0"/>
    <x v="10"/>
    <n v="0"/>
    <m/>
    <n v="0"/>
    <n v="1"/>
    <n v="1219"/>
    <n v="18"/>
    <x v="3"/>
    <n v="1"/>
    <n v="3"/>
    <n v="86"/>
    <n v="3"/>
    <n v="2"/>
    <n v="3"/>
    <n v="4601"/>
    <n v="6179"/>
    <n v="1"/>
    <n v="16"/>
    <n v="3"/>
    <n v="2"/>
    <n v="80"/>
    <n v="0"/>
    <n v="5"/>
    <n v="3"/>
    <n v="5"/>
    <n v="2"/>
    <n v="1"/>
    <n v="0"/>
  </r>
  <r>
    <s v="No"/>
    <s v="Travel_Rarely"/>
    <x v="1"/>
    <s v="Current Employees"/>
    <x v="1"/>
    <x v="0"/>
    <s v="STAFF-976"/>
    <x v="699"/>
    <x v="1"/>
    <x v="5"/>
    <x v="1"/>
    <s v="No"/>
    <s v="Y"/>
    <n v="2"/>
    <n v="-2"/>
    <n v="0"/>
    <x v="39"/>
    <n v="0"/>
    <m/>
    <n v="0"/>
    <n v="1"/>
    <n v="1053"/>
    <n v="1"/>
    <x v="0"/>
    <n v="1"/>
    <n v="4"/>
    <n v="70"/>
    <n v="3"/>
    <n v="4"/>
    <n v="1"/>
    <n v="17099"/>
    <n v="13829"/>
    <n v="2"/>
    <n v="15"/>
    <n v="3"/>
    <n v="2"/>
    <n v="80"/>
    <n v="1"/>
    <n v="26"/>
    <n v="2"/>
    <n v="9"/>
    <n v="8"/>
    <n v="7"/>
    <n v="8"/>
  </r>
  <r>
    <s v="Yes"/>
    <s v="Travel_Rarely"/>
    <x v="3"/>
    <s v="Ex-Employees"/>
    <x v="1"/>
    <x v="4"/>
    <s v="STAFF-977"/>
    <x v="700"/>
    <x v="1"/>
    <x v="1"/>
    <x v="0"/>
    <s v="No"/>
    <s v="Y"/>
    <n v="4"/>
    <n v="-2"/>
    <n v="0"/>
    <x v="34"/>
    <n v="1"/>
    <n v="1"/>
    <n v="1"/>
    <n v="0"/>
    <n v="289"/>
    <n v="2"/>
    <x v="3"/>
    <n v="1"/>
    <n v="4"/>
    <n v="51"/>
    <n v="3"/>
    <n v="1"/>
    <n v="4"/>
    <n v="2479"/>
    <n v="26227"/>
    <n v="4"/>
    <n v="24"/>
    <n v="4"/>
    <n v="1"/>
    <n v="80"/>
    <n v="0"/>
    <n v="7"/>
    <n v="3"/>
    <n v="1"/>
    <n v="0"/>
    <n v="0"/>
    <n v="0"/>
  </r>
  <r>
    <s v="No"/>
    <s v="Travel_Rarely"/>
    <x v="1"/>
    <s v="Current Employees"/>
    <x v="0"/>
    <x v="2"/>
    <s v="STAFF-981"/>
    <x v="701"/>
    <x v="1"/>
    <x v="5"/>
    <x v="2"/>
    <s v="No"/>
    <s v="Y"/>
    <n v="3"/>
    <n v="-2"/>
    <n v="0"/>
    <x v="16"/>
    <n v="0"/>
    <m/>
    <n v="0"/>
    <n v="1"/>
    <n v="1376"/>
    <n v="2"/>
    <x v="0"/>
    <n v="1"/>
    <n v="3"/>
    <n v="45"/>
    <n v="3"/>
    <n v="4"/>
    <n v="3"/>
    <n v="14852"/>
    <n v="13938"/>
    <n v="6"/>
    <n v="13"/>
    <n v="3"/>
    <n v="3"/>
    <n v="80"/>
    <n v="1"/>
    <n v="22"/>
    <n v="4"/>
    <n v="17"/>
    <n v="13"/>
    <n v="15"/>
    <n v="2"/>
  </r>
  <r>
    <s v="No"/>
    <s v="Travel_Rarely"/>
    <x v="2"/>
    <s v="Current Employees"/>
    <x v="0"/>
    <x v="1"/>
    <s v="STAFF-982"/>
    <x v="702"/>
    <x v="1"/>
    <x v="0"/>
    <x v="2"/>
    <s v="No"/>
    <s v="Y"/>
    <n v="2"/>
    <n v="-2"/>
    <n v="0"/>
    <x v="7"/>
    <n v="0"/>
    <m/>
    <n v="0"/>
    <n v="1"/>
    <n v="231"/>
    <n v="8"/>
    <x v="0"/>
    <n v="1"/>
    <n v="3"/>
    <n v="62"/>
    <n v="3"/>
    <n v="3"/>
    <n v="3"/>
    <n v="7264"/>
    <n v="9977"/>
    <n v="5"/>
    <n v="11"/>
    <n v="3"/>
    <n v="1"/>
    <n v="80"/>
    <n v="1"/>
    <n v="10"/>
    <n v="4"/>
    <n v="8"/>
    <n v="4"/>
    <n v="7"/>
    <n v="7"/>
  </r>
  <r>
    <s v="No"/>
    <s v="Non-Travel"/>
    <x v="0"/>
    <s v="Current Employees"/>
    <x v="0"/>
    <x v="4"/>
    <s v="STAFF-983"/>
    <x v="703"/>
    <x v="0"/>
    <x v="0"/>
    <x v="0"/>
    <s v="Yes"/>
    <s v="Y"/>
    <n v="1"/>
    <n v="-2"/>
    <n v="0"/>
    <x v="8"/>
    <n v="0"/>
    <m/>
    <n v="0"/>
    <n v="1"/>
    <n v="152"/>
    <n v="10"/>
    <x v="3"/>
    <n v="1"/>
    <n v="4"/>
    <n v="85"/>
    <n v="3"/>
    <n v="2"/>
    <n v="4"/>
    <n v="5666"/>
    <n v="19899"/>
    <n v="1"/>
    <n v="13"/>
    <n v="3"/>
    <n v="2"/>
    <n v="80"/>
    <n v="0"/>
    <n v="6"/>
    <n v="3"/>
    <n v="5"/>
    <n v="3"/>
    <n v="1"/>
    <n v="3"/>
  </r>
  <r>
    <s v="No"/>
    <s v="Travel_Rarely"/>
    <x v="0"/>
    <s v="Current Employees"/>
    <x v="0"/>
    <x v="0"/>
    <s v="STAFF-984"/>
    <x v="704"/>
    <x v="1"/>
    <x v="0"/>
    <x v="2"/>
    <s v="No"/>
    <s v="Y"/>
    <n v="2"/>
    <n v="-2"/>
    <n v="0"/>
    <x v="10"/>
    <n v="0"/>
    <m/>
    <n v="0"/>
    <n v="1"/>
    <n v="882"/>
    <n v="3"/>
    <x v="2"/>
    <n v="1"/>
    <n v="4"/>
    <n v="92"/>
    <n v="3"/>
    <n v="3"/>
    <n v="1"/>
    <n v="7823"/>
    <n v="6812"/>
    <n v="6"/>
    <n v="13"/>
    <n v="3"/>
    <n v="2"/>
    <n v="80"/>
    <n v="1"/>
    <n v="12"/>
    <n v="3"/>
    <n v="10"/>
    <n v="9"/>
    <n v="0"/>
    <n v="8"/>
  </r>
  <r>
    <s v="No"/>
    <s v="Travel_Rarely"/>
    <x v="0"/>
    <s v="Current Employees"/>
    <x v="0"/>
    <x v="0"/>
    <s v="STAFF-985"/>
    <x v="705"/>
    <x v="1"/>
    <x v="0"/>
    <x v="0"/>
    <s v="No"/>
    <s v="Y"/>
    <n v="3"/>
    <n v="-2"/>
    <n v="0"/>
    <x v="22"/>
    <n v="0"/>
    <m/>
    <n v="0"/>
    <n v="1"/>
    <n v="903"/>
    <n v="2"/>
    <x v="4"/>
    <n v="1"/>
    <n v="1"/>
    <n v="41"/>
    <n v="4"/>
    <n v="3"/>
    <n v="1"/>
    <n v="7880"/>
    <n v="2560"/>
    <n v="0"/>
    <n v="18"/>
    <n v="3"/>
    <n v="4"/>
    <n v="80"/>
    <n v="0"/>
    <n v="9"/>
    <n v="3"/>
    <n v="8"/>
    <n v="7"/>
    <n v="0"/>
    <n v="7"/>
  </r>
  <r>
    <s v="Yes"/>
    <s v="Non-Travel"/>
    <x v="0"/>
    <s v="Ex-Employees"/>
    <x v="0"/>
    <x v="0"/>
    <s v="STAFF-986"/>
    <x v="706"/>
    <x v="0"/>
    <x v="0"/>
    <x v="0"/>
    <s v="Yes"/>
    <s v="Y"/>
    <n v="2"/>
    <n v="-2"/>
    <n v="0"/>
    <x v="32"/>
    <n v="1"/>
    <n v="1"/>
    <n v="1"/>
    <n v="0"/>
    <n v="1479"/>
    <n v="24"/>
    <x v="3"/>
    <n v="1"/>
    <n v="2"/>
    <n v="100"/>
    <n v="4"/>
    <n v="4"/>
    <n v="1"/>
    <n v="13194"/>
    <n v="17071"/>
    <n v="4"/>
    <n v="16"/>
    <n v="3"/>
    <n v="4"/>
    <n v="80"/>
    <n v="0"/>
    <n v="22"/>
    <n v="2"/>
    <n v="1"/>
    <n v="0"/>
    <n v="0"/>
    <n v="0"/>
  </r>
  <r>
    <s v="No"/>
    <s v="Travel_Frequently"/>
    <x v="1"/>
    <s v="Current Employees"/>
    <x v="1"/>
    <x v="2"/>
    <s v="STAFF-987"/>
    <x v="707"/>
    <x v="1"/>
    <x v="3"/>
    <x v="2"/>
    <s v="Yes"/>
    <s v="Y"/>
    <n v="3"/>
    <n v="-2"/>
    <n v="0"/>
    <x v="40"/>
    <n v="0"/>
    <m/>
    <n v="0"/>
    <n v="1"/>
    <n v="1379"/>
    <n v="16"/>
    <x v="2"/>
    <n v="1"/>
    <n v="3"/>
    <n v="64"/>
    <n v="4"/>
    <n v="2"/>
    <n v="3"/>
    <n v="5067"/>
    <n v="6759"/>
    <n v="1"/>
    <n v="19"/>
    <n v="3"/>
    <n v="3"/>
    <n v="80"/>
    <n v="0"/>
    <n v="20"/>
    <n v="4"/>
    <n v="19"/>
    <n v="10"/>
    <n v="2"/>
    <n v="7"/>
  </r>
  <r>
    <s v="No"/>
    <s v="Non-Travel"/>
    <x v="0"/>
    <s v="Current Employees"/>
    <x v="0"/>
    <x v="4"/>
    <s v="STAFF-990"/>
    <x v="708"/>
    <x v="1"/>
    <x v="0"/>
    <x v="2"/>
    <s v="No"/>
    <s v="Y"/>
    <n v="3"/>
    <n v="-2"/>
    <n v="0"/>
    <x v="9"/>
    <n v="0"/>
    <m/>
    <n v="0"/>
    <n v="1"/>
    <n v="1229"/>
    <n v="8"/>
    <x v="2"/>
    <n v="1"/>
    <n v="4"/>
    <n v="84"/>
    <n v="3"/>
    <n v="2"/>
    <n v="4"/>
    <n v="5079"/>
    <n v="25952"/>
    <n v="4"/>
    <n v="13"/>
    <n v="3"/>
    <n v="4"/>
    <n v="80"/>
    <n v="2"/>
    <n v="12"/>
    <n v="3"/>
    <n v="7"/>
    <n v="7"/>
    <n v="0"/>
    <n v="7"/>
  </r>
  <r>
    <s v="Yes"/>
    <s v="Non-Travel"/>
    <x v="2"/>
    <s v="Ex-Employees"/>
    <x v="1"/>
    <x v="2"/>
    <s v="STAFF-991"/>
    <x v="709"/>
    <x v="1"/>
    <x v="1"/>
    <x v="0"/>
    <s v="Yes"/>
    <s v="Y"/>
    <n v="0"/>
    <n v="-2"/>
    <n v="0"/>
    <x v="12"/>
    <n v="1"/>
    <n v="1"/>
    <n v="1"/>
    <n v="0"/>
    <n v="335"/>
    <n v="9"/>
    <x v="0"/>
    <n v="1"/>
    <n v="3"/>
    <n v="46"/>
    <n v="2"/>
    <n v="1"/>
    <n v="3"/>
    <n v="2321"/>
    <n v="10322"/>
    <n v="0"/>
    <n v="22"/>
    <n v="4"/>
    <n v="1"/>
    <n v="80"/>
    <n v="0"/>
    <n v="4"/>
    <n v="3"/>
    <n v="3"/>
    <n v="2"/>
    <n v="1"/>
    <n v="2"/>
  </r>
  <r>
    <s v="No"/>
    <s v="Non-Travel"/>
    <x v="2"/>
    <s v="Current Employees"/>
    <x v="0"/>
    <x v="0"/>
    <s v="STAFF-992"/>
    <x v="710"/>
    <x v="1"/>
    <x v="5"/>
    <x v="0"/>
    <s v="No"/>
    <s v="Y"/>
    <n v="2"/>
    <n v="-2"/>
    <n v="0"/>
    <x v="3"/>
    <n v="0"/>
    <m/>
    <n v="0"/>
    <n v="1"/>
    <n v="722"/>
    <n v="17"/>
    <x v="3"/>
    <n v="1"/>
    <n v="4"/>
    <n v="38"/>
    <n v="3"/>
    <n v="4"/>
    <n v="1"/>
    <n v="17444"/>
    <n v="20489"/>
    <n v="1"/>
    <n v="11"/>
    <n v="3"/>
    <n v="4"/>
    <n v="80"/>
    <n v="0"/>
    <n v="10"/>
    <n v="3"/>
    <n v="10"/>
    <n v="8"/>
    <n v="6"/>
    <n v="0"/>
  </r>
  <r>
    <s v="Yes"/>
    <s v="Travel_Rarely"/>
    <x v="2"/>
    <s v="Ex-Employees"/>
    <x v="1"/>
    <x v="0"/>
    <s v="STAFF-994"/>
    <x v="711"/>
    <x v="0"/>
    <x v="1"/>
    <x v="0"/>
    <s v="Yes"/>
    <s v="Y"/>
    <n v="5"/>
    <n v="-2"/>
    <n v="0"/>
    <x v="11"/>
    <n v="1"/>
    <n v="1"/>
    <n v="1"/>
    <n v="0"/>
    <n v="906"/>
    <n v="10"/>
    <x v="3"/>
    <n v="1"/>
    <n v="4"/>
    <n v="92"/>
    <n v="2"/>
    <n v="1"/>
    <n v="1"/>
    <n v="2404"/>
    <n v="11479"/>
    <n v="6"/>
    <n v="20"/>
    <n v="4"/>
    <n v="3"/>
    <n v="80"/>
    <n v="0"/>
    <n v="3"/>
    <n v="3"/>
    <n v="0"/>
    <n v="0"/>
    <n v="0"/>
    <n v="0"/>
  </r>
  <r>
    <s v="No"/>
    <s v="Travel_Rarely"/>
    <x v="2"/>
    <s v="Current Employees"/>
    <x v="1"/>
    <x v="0"/>
    <s v="STAFF-995"/>
    <x v="712"/>
    <x v="0"/>
    <x v="1"/>
    <x v="0"/>
    <s v="No"/>
    <s v="Y"/>
    <n v="4"/>
    <n v="-2"/>
    <n v="0"/>
    <x v="3"/>
    <n v="0"/>
    <m/>
    <n v="0"/>
    <n v="1"/>
    <n v="461"/>
    <n v="13"/>
    <x v="1"/>
    <n v="1"/>
    <n v="2"/>
    <n v="53"/>
    <n v="3"/>
    <n v="1"/>
    <n v="1"/>
    <n v="3452"/>
    <n v="17241"/>
    <n v="3"/>
    <n v="18"/>
    <n v="3"/>
    <n v="1"/>
    <n v="80"/>
    <n v="0"/>
    <n v="5"/>
    <n v="3"/>
    <n v="3"/>
    <n v="2"/>
    <n v="0"/>
    <n v="2"/>
  </r>
  <r>
    <s v="No"/>
    <s v="Travel_Rarely"/>
    <x v="1"/>
    <s v="Current Employees"/>
    <x v="1"/>
    <x v="2"/>
    <s v="STAFF-996"/>
    <x v="713"/>
    <x v="0"/>
    <x v="2"/>
    <x v="2"/>
    <s v="No"/>
    <s v="Y"/>
    <n v="2"/>
    <n v="-2"/>
    <n v="0"/>
    <x v="28"/>
    <n v="0"/>
    <m/>
    <n v="0"/>
    <n v="1"/>
    <n v="974"/>
    <n v="1"/>
    <x v="2"/>
    <n v="1"/>
    <n v="4"/>
    <n v="91"/>
    <n v="3"/>
    <n v="1"/>
    <n v="4"/>
    <n v="2270"/>
    <n v="11005"/>
    <n v="3"/>
    <n v="14"/>
    <n v="3"/>
    <n v="4"/>
    <n v="80"/>
    <n v="2"/>
    <n v="8"/>
    <n v="3"/>
    <n v="5"/>
    <n v="3"/>
    <n v="0"/>
    <n v="2"/>
  </r>
  <r>
    <s v="No"/>
    <s v="Travel_Rarely"/>
    <x v="1"/>
    <s v="Current Employees"/>
    <x v="1"/>
    <x v="2"/>
    <s v="STAFF-997"/>
    <x v="714"/>
    <x v="1"/>
    <x v="7"/>
    <x v="2"/>
    <s v="No"/>
    <s v="Y"/>
    <n v="1"/>
    <n v="-2"/>
    <n v="0"/>
    <x v="24"/>
    <n v="0"/>
    <m/>
    <n v="0"/>
    <n v="1"/>
    <n v="1126"/>
    <n v="1"/>
    <x v="0"/>
    <n v="1"/>
    <n v="4"/>
    <n v="66"/>
    <n v="3"/>
    <n v="4"/>
    <n v="4"/>
    <n v="17399"/>
    <n v="6615"/>
    <n v="9"/>
    <n v="22"/>
    <n v="4"/>
    <n v="3"/>
    <n v="80"/>
    <n v="1"/>
    <n v="32"/>
    <n v="2"/>
    <n v="5"/>
    <n v="4"/>
    <n v="1"/>
    <n v="3"/>
  </r>
  <r>
    <s v="No"/>
    <s v="Travel_Frequently"/>
    <x v="2"/>
    <s v="Current Employees"/>
    <x v="1"/>
    <x v="1"/>
    <s v="STAFF-998"/>
    <x v="715"/>
    <x v="0"/>
    <x v="4"/>
    <x v="1"/>
    <s v="Yes"/>
    <s v="Y"/>
    <n v="2"/>
    <n v="-2"/>
    <n v="0"/>
    <x v="3"/>
    <n v="0"/>
    <m/>
    <n v="0"/>
    <n v="1"/>
    <n v="827"/>
    <n v="1"/>
    <x v="2"/>
    <n v="1"/>
    <n v="3"/>
    <n v="84"/>
    <n v="4"/>
    <n v="2"/>
    <n v="3"/>
    <n v="5488"/>
    <n v="20161"/>
    <n v="1"/>
    <n v="13"/>
    <n v="3"/>
    <n v="1"/>
    <n v="80"/>
    <n v="1"/>
    <n v="6"/>
    <n v="3"/>
    <n v="6"/>
    <n v="5"/>
    <n v="1"/>
    <n v="2"/>
  </r>
  <r>
    <s v="No"/>
    <s v="Travel_Frequently"/>
    <x v="0"/>
    <s v="Current Employees"/>
    <x v="1"/>
    <x v="2"/>
    <s v="STAFF-999"/>
    <x v="716"/>
    <x v="1"/>
    <x v="7"/>
    <x v="2"/>
    <s v="No"/>
    <s v="Y"/>
    <n v="2"/>
    <n v="-2"/>
    <n v="0"/>
    <x v="0"/>
    <n v="0"/>
    <m/>
    <n v="0"/>
    <n v="1"/>
    <n v="840"/>
    <n v="9"/>
    <x v="3"/>
    <n v="1"/>
    <n v="1"/>
    <n v="64"/>
    <n v="3"/>
    <n v="5"/>
    <n v="3"/>
    <n v="19419"/>
    <n v="3735"/>
    <n v="2"/>
    <n v="17"/>
    <n v="3"/>
    <n v="2"/>
    <n v="80"/>
    <n v="1"/>
    <n v="21"/>
    <n v="4"/>
    <n v="18"/>
    <n v="16"/>
    <n v="0"/>
    <n v="11"/>
  </r>
  <r>
    <s v="No"/>
    <s v="Travel_Rarely"/>
    <x v="2"/>
    <s v="Current Employees"/>
    <x v="1"/>
    <x v="4"/>
    <s v="STAFF-1001"/>
    <x v="717"/>
    <x v="0"/>
    <x v="2"/>
    <x v="1"/>
    <s v="No"/>
    <s v="Y"/>
    <n v="2"/>
    <n v="-2"/>
    <n v="0"/>
    <x v="4"/>
    <n v="0"/>
    <m/>
    <n v="0"/>
    <n v="1"/>
    <n v="1134"/>
    <n v="16"/>
    <x v="2"/>
    <n v="1"/>
    <n v="4"/>
    <n v="37"/>
    <n v="3"/>
    <n v="1"/>
    <n v="4"/>
    <n v="2811"/>
    <n v="12086"/>
    <n v="9"/>
    <n v="14"/>
    <n v="3"/>
    <n v="2"/>
    <n v="80"/>
    <n v="1"/>
    <n v="4"/>
    <n v="3"/>
    <n v="2"/>
    <n v="2"/>
    <n v="2"/>
    <n v="2"/>
  </r>
  <r>
    <s v="No"/>
    <s v="Non-Travel"/>
    <x v="1"/>
    <s v="Current Employees"/>
    <x v="1"/>
    <x v="0"/>
    <s v="STAFF-1002"/>
    <x v="718"/>
    <x v="1"/>
    <x v="2"/>
    <x v="1"/>
    <s v="Yes"/>
    <s v="Y"/>
    <n v="2"/>
    <n v="-2"/>
    <n v="0"/>
    <x v="28"/>
    <n v="0"/>
    <m/>
    <n v="0"/>
    <n v="1"/>
    <n v="248"/>
    <n v="23"/>
    <x v="0"/>
    <n v="1"/>
    <n v="4"/>
    <n v="42"/>
    <n v="3"/>
    <n v="2"/>
    <n v="1"/>
    <n v="3633"/>
    <n v="14039"/>
    <n v="1"/>
    <n v="15"/>
    <n v="3"/>
    <n v="3"/>
    <n v="80"/>
    <n v="1"/>
    <n v="9"/>
    <n v="3"/>
    <n v="9"/>
    <n v="8"/>
    <n v="0"/>
    <n v="8"/>
  </r>
  <r>
    <s v="No"/>
    <s v="Travel_Rarely"/>
    <x v="1"/>
    <s v="Current Employees"/>
    <x v="0"/>
    <x v="0"/>
    <s v="STAFF-1003"/>
    <x v="719"/>
    <x v="0"/>
    <x v="0"/>
    <x v="0"/>
    <s v="Yes"/>
    <s v="Y"/>
    <n v="0"/>
    <n v="-2"/>
    <n v="0"/>
    <x v="40"/>
    <n v="0"/>
    <m/>
    <n v="0"/>
    <n v="1"/>
    <n v="955"/>
    <n v="4"/>
    <x v="0"/>
    <n v="1"/>
    <n v="4"/>
    <n v="83"/>
    <n v="3"/>
    <n v="2"/>
    <n v="1"/>
    <n v="4163"/>
    <n v="8571"/>
    <n v="1"/>
    <n v="17"/>
    <n v="3"/>
    <n v="3"/>
    <n v="80"/>
    <n v="0"/>
    <n v="9"/>
    <n v="3"/>
    <n v="9"/>
    <n v="0"/>
    <n v="0"/>
    <n v="7"/>
  </r>
  <r>
    <s v="Yes"/>
    <s v="Travel_Rarely"/>
    <x v="2"/>
    <s v="Ex-Employees"/>
    <x v="1"/>
    <x v="0"/>
    <s v="STAFF-1004"/>
    <x v="720"/>
    <x v="0"/>
    <x v="1"/>
    <x v="1"/>
    <s v="Yes"/>
    <s v="Y"/>
    <n v="2"/>
    <n v="-2"/>
    <n v="0"/>
    <x v="7"/>
    <n v="1"/>
    <n v="1"/>
    <n v="1"/>
    <n v="0"/>
    <n v="138"/>
    <n v="22"/>
    <x v="3"/>
    <n v="1"/>
    <n v="1"/>
    <n v="48"/>
    <n v="3"/>
    <n v="1"/>
    <n v="1"/>
    <n v="2132"/>
    <n v="11539"/>
    <n v="4"/>
    <n v="11"/>
    <n v="3"/>
    <n v="2"/>
    <n v="80"/>
    <n v="0"/>
    <n v="7"/>
    <n v="3"/>
    <n v="5"/>
    <n v="2"/>
    <n v="0"/>
    <n v="1"/>
  </r>
  <r>
    <s v="No"/>
    <s v="Travel_Rarely"/>
    <x v="1"/>
    <s v="Current Employees"/>
    <x v="1"/>
    <x v="0"/>
    <s v="STAFF-1005"/>
    <x v="721"/>
    <x v="1"/>
    <x v="3"/>
    <x v="1"/>
    <s v="Yes"/>
    <s v="Y"/>
    <n v="2"/>
    <n v="-2"/>
    <n v="0"/>
    <x v="24"/>
    <n v="0"/>
    <m/>
    <n v="0"/>
    <n v="1"/>
    <n v="939"/>
    <n v="24"/>
    <x v="3"/>
    <n v="1"/>
    <n v="4"/>
    <n v="95"/>
    <n v="3"/>
    <n v="4"/>
    <n v="1"/>
    <n v="13973"/>
    <n v="4161"/>
    <n v="3"/>
    <n v="18"/>
    <n v="3"/>
    <n v="4"/>
    <n v="80"/>
    <n v="1"/>
    <n v="22"/>
    <n v="3"/>
    <n v="12"/>
    <n v="11"/>
    <n v="1"/>
    <n v="5"/>
  </r>
  <r>
    <s v="No"/>
    <s v="Travel_Frequently"/>
    <x v="0"/>
    <s v="Current Employees"/>
    <x v="1"/>
    <x v="2"/>
    <s v="STAFF-1006"/>
    <x v="722"/>
    <x v="1"/>
    <x v="1"/>
    <x v="1"/>
    <s v="No"/>
    <s v="Y"/>
    <n v="0"/>
    <n v="-2"/>
    <n v="0"/>
    <x v="8"/>
    <n v="0"/>
    <m/>
    <n v="0"/>
    <n v="1"/>
    <n v="1391"/>
    <n v="10"/>
    <x v="1"/>
    <n v="1"/>
    <n v="3"/>
    <n v="66"/>
    <n v="3"/>
    <n v="1"/>
    <n v="3"/>
    <n v="2684"/>
    <n v="12127"/>
    <n v="0"/>
    <n v="17"/>
    <n v="3"/>
    <n v="2"/>
    <n v="80"/>
    <n v="1"/>
    <n v="3"/>
    <n v="2"/>
    <n v="2"/>
    <n v="1"/>
    <n v="0"/>
    <n v="2"/>
  </r>
  <r>
    <s v="No"/>
    <s v="Travel_Rarely"/>
    <x v="1"/>
    <s v="Current Employees"/>
    <x v="1"/>
    <x v="2"/>
    <s v="STAFF-1007"/>
    <x v="723"/>
    <x v="1"/>
    <x v="3"/>
    <x v="2"/>
    <s v="No"/>
    <s v="Y"/>
    <n v="3"/>
    <n v="-2"/>
    <n v="0"/>
    <x v="21"/>
    <n v="0"/>
    <m/>
    <n v="0"/>
    <n v="1"/>
    <n v="566"/>
    <n v="7"/>
    <x v="0"/>
    <n v="1"/>
    <n v="4"/>
    <n v="75"/>
    <n v="3"/>
    <n v="3"/>
    <n v="3"/>
    <n v="10845"/>
    <n v="24208"/>
    <n v="6"/>
    <n v="13"/>
    <n v="3"/>
    <n v="2"/>
    <n v="80"/>
    <n v="1"/>
    <n v="13"/>
    <n v="3"/>
    <n v="8"/>
    <n v="7"/>
    <n v="0"/>
    <n v="7"/>
  </r>
  <r>
    <s v="No"/>
    <s v="Travel_Rarely"/>
    <x v="4"/>
    <s v="Current Employees"/>
    <x v="1"/>
    <x v="2"/>
    <s v="STAFF-1009"/>
    <x v="724"/>
    <x v="0"/>
    <x v="3"/>
    <x v="2"/>
    <s v="No"/>
    <s v="Y"/>
    <n v="6"/>
    <n v="-2"/>
    <n v="0"/>
    <x v="17"/>
    <n v="0"/>
    <m/>
    <n v="0"/>
    <n v="1"/>
    <n v="1206"/>
    <n v="17"/>
    <x v="1"/>
    <n v="1"/>
    <n v="4"/>
    <n v="41"/>
    <n v="2"/>
    <n v="2"/>
    <n v="3"/>
    <n v="4377"/>
    <n v="24117"/>
    <n v="1"/>
    <n v="15"/>
    <n v="3"/>
    <n v="2"/>
    <n v="80"/>
    <n v="2"/>
    <n v="5"/>
    <n v="3"/>
    <n v="4"/>
    <n v="2"/>
    <n v="3"/>
    <n v="2"/>
  </r>
  <r>
    <s v="Yes"/>
    <s v="Travel_Rarely"/>
    <x v="0"/>
    <s v="Ex-Employees"/>
    <x v="1"/>
    <x v="1"/>
    <s v="STAFF-1010"/>
    <x v="725"/>
    <x v="1"/>
    <x v="2"/>
    <x v="2"/>
    <s v="Yes"/>
    <s v="Y"/>
    <n v="2"/>
    <n v="-2"/>
    <n v="0"/>
    <x v="10"/>
    <n v="1"/>
    <n v="1"/>
    <n v="1"/>
    <n v="0"/>
    <n v="622"/>
    <n v="14"/>
    <x v="2"/>
    <n v="1"/>
    <n v="3"/>
    <n v="39"/>
    <n v="2"/>
    <n v="1"/>
    <n v="3"/>
    <n v="3743"/>
    <n v="10074"/>
    <n v="1"/>
    <n v="24"/>
    <n v="4"/>
    <n v="4"/>
    <n v="80"/>
    <n v="1"/>
    <n v="5"/>
    <n v="1"/>
    <n v="4"/>
    <n v="2"/>
    <n v="0"/>
    <n v="2"/>
  </r>
  <r>
    <s v="No"/>
    <s v="Travel_Frequently"/>
    <x v="2"/>
    <s v="Current Employees"/>
    <x v="1"/>
    <x v="0"/>
    <s v="STAFF-1011"/>
    <x v="726"/>
    <x v="0"/>
    <x v="3"/>
    <x v="1"/>
    <s v="No"/>
    <s v="Y"/>
    <n v="1"/>
    <n v="-2"/>
    <n v="0"/>
    <x v="12"/>
    <n v="0"/>
    <m/>
    <n v="0"/>
    <n v="1"/>
    <n v="853"/>
    <n v="1"/>
    <x v="1"/>
    <n v="1"/>
    <n v="3"/>
    <n v="96"/>
    <n v="3"/>
    <n v="2"/>
    <n v="1"/>
    <n v="4148"/>
    <n v="11275"/>
    <n v="1"/>
    <n v="12"/>
    <n v="3"/>
    <n v="3"/>
    <n v="80"/>
    <n v="1"/>
    <n v="4"/>
    <n v="3"/>
    <n v="4"/>
    <n v="3"/>
    <n v="0"/>
    <n v="3"/>
  </r>
  <r>
    <s v="No"/>
    <s v="Non-Travel"/>
    <x v="4"/>
    <s v="Current Employees"/>
    <x v="1"/>
    <x v="0"/>
    <s v="STAFF-1012"/>
    <x v="727"/>
    <x v="1"/>
    <x v="1"/>
    <x v="0"/>
    <s v="No"/>
    <s v="Y"/>
    <n v="2"/>
    <n v="-2"/>
    <n v="0"/>
    <x v="41"/>
    <n v="0"/>
    <m/>
    <n v="0"/>
    <n v="1"/>
    <n v="287"/>
    <n v="5"/>
    <x v="0"/>
    <n v="1"/>
    <n v="2"/>
    <n v="73"/>
    <n v="3"/>
    <n v="1"/>
    <n v="1"/>
    <n v="1051"/>
    <n v="13493"/>
    <n v="1"/>
    <n v="15"/>
    <n v="3"/>
    <n v="4"/>
    <n v="80"/>
    <n v="0"/>
    <n v="0"/>
    <n v="3"/>
    <n v="0"/>
    <n v="0"/>
    <n v="0"/>
    <n v="0"/>
  </r>
  <r>
    <s v="No"/>
    <s v="Travel_Rarely"/>
    <x v="1"/>
    <s v="Current Employees"/>
    <x v="1"/>
    <x v="4"/>
    <s v="STAFF-1013"/>
    <x v="728"/>
    <x v="0"/>
    <x v="3"/>
    <x v="1"/>
    <s v="No"/>
    <s v="Y"/>
    <n v="2"/>
    <n v="-2"/>
    <n v="0"/>
    <x v="33"/>
    <n v="0"/>
    <m/>
    <n v="0"/>
    <n v="1"/>
    <n v="1441"/>
    <n v="17"/>
    <x v="3"/>
    <n v="1"/>
    <n v="4"/>
    <n v="56"/>
    <n v="3"/>
    <n v="3"/>
    <n v="4"/>
    <n v="10739"/>
    <n v="13943"/>
    <n v="8"/>
    <n v="11"/>
    <n v="3"/>
    <n v="3"/>
    <n v="80"/>
    <n v="1"/>
    <n v="22"/>
    <n v="3"/>
    <n v="10"/>
    <n v="7"/>
    <n v="0"/>
    <n v="8"/>
  </r>
  <r>
    <s v="No"/>
    <s v="Travel_Rarely"/>
    <x v="0"/>
    <s v="Current Employees"/>
    <x v="1"/>
    <x v="2"/>
    <s v="STAFF-1014"/>
    <x v="729"/>
    <x v="0"/>
    <x v="4"/>
    <x v="2"/>
    <s v="Yes"/>
    <s v="Y"/>
    <n v="3"/>
    <n v="-2"/>
    <n v="0"/>
    <x v="10"/>
    <n v="0"/>
    <m/>
    <n v="0"/>
    <n v="1"/>
    <n v="583"/>
    <n v="25"/>
    <x v="2"/>
    <n v="1"/>
    <n v="3"/>
    <n v="57"/>
    <n v="3"/>
    <n v="3"/>
    <n v="3"/>
    <n v="10388"/>
    <n v="6975"/>
    <n v="1"/>
    <n v="11"/>
    <n v="3"/>
    <n v="3"/>
    <n v="80"/>
    <n v="1"/>
    <n v="16"/>
    <n v="2"/>
    <n v="16"/>
    <n v="10"/>
    <n v="10"/>
    <n v="1"/>
  </r>
  <r>
    <s v="No"/>
    <s v="Travel_Rarely"/>
    <x v="2"/>
    <s v="Current Employees"/>
    <x v="1"/>
    <x v="0"/>
    <s v="STAFF-1015"/>
    <x v="730"/>
    <x v="0"/>
    <x v="7"/>
    <x v="1"/>
    <s v="Yes"/>
    <s v="Y"/>
    <n v="4"/>
    <n v="-2"/>
    <n v="0"/>
    <x v="7"/>
    <n v="0"/>
    <m/>
    <n v="0"/>
    <n v="1"/>
    <n v="153"/>
    <n v="8"/>
    <x v="0"/>
    <n v="1"/>
    <n v="2"/>
    <n v="73"/>
    <n v="4"/>
    <n v="3"/>
    <n v="1"/>
    <n v="11416"/>
    <n v="17802"/>
    <n v="0"/>
    <n v="12"/>
    <n v="3"/>
    <n v="3"/>
    <n v="80"/>
    <n v="3"/>
    <n v="9"/>
    <n v="2"/>
    <n v="8"/>
    <n v="7"/>
    <n v="1"/>
    <n v="7"/>
  </r>
  <r>
    <s v="Yes"/>
    <s v="Travel_Rarely"/>
    <x v="4"/>
    <s v="Ex-Employees"/>
    <x v="1"/>
    <x v="2"/>
    <s v="STAFF-1016"/>
    <x v="731"/>
    <x v="0"/>
    <x v="1"/>
    <x v="0"/>
    <s v="Yes"/>
    <s v="Y"/>
    <n v="2"/>
    <n v="-2"/>
    <n v="0"/>
    <x v="35"/>
    <n v="1"/>
    <n v="1"/>
    <n v="1"/>
    <n v="0"/>
    <n v="1097"/>
    <n v="11"/>
    <x v="3"/>
    <n v="1"/>
    <n v="4"/>
    <n v="98"/>
    <n v="2"/>
    <n v="1"/>
    <n v="3"/>
    <n v="2600"/>
    <n v="18275"/>
    <n v="1"/>
    <n v="15"/>
    <n v="3"/>
    <n v="1"/>
    <n v="80"/>
    <n v="0"/>
    <n v="1"/>
    <n v="3"/>
    <n v="1"/>
    <n v="0"/>
    <n v="0"/>
    <n v="0"/>
  </r>
  <r>
    <s v="Yes"/>
    <s v="Travel_Frequently"/>
    <x v="2"/>
    <s v="Ex-Employees"/>
    <x v="1"/>
    <x v="2"/>
    <s v="STAFF-1017"/>
    <x v="732"/>
    <x v="0"/>
    <x v="2"/>
    <x v="0"/>
    <s v="No"/>
    <s v="Y"/>
    <n v="3"/>
    <n v="-2"/>
    <n v="0"/>
    <x v="7"/>
    <n v="1"/>
    <n v="1"/>
    <n v="1"/>
    <n v="0"/>
    <n v="109"/>
    <n v="5"/>
    <x v="3"/>
    <n v="1"/>
    <n v="2"/>
    <n v="60"/>
    <n v="3"/>
    <n v="1"/>
    <n v="3"/>
    <n v="2422"/>
    <n v="25725"/>
    <n v="0"/>
    <n v="17"/>
    <n v="3"/>
    <n v="1"/>
    <n v="80"/>
    <n v="0"/>
    <n v="4"/>
    <n v="3"/>
    <n v="3"/>
    <n v="2"/>
    <n v="1"/>
    <n v="2"/>
  </r>
  <r>
    <s v="No"/>
    <s v="Travel_Rarely"/>
    <x v="2"/>
    <s v="Current Employees"/>
    <x v="1"/>
    <x v="2"/>
    <s v="STAFF-1018"/>
    <x v="733"/>
    <x v="1"/>
    <x v="3"/>
    <x v="1"/>
    <s v="No"/>
    <s v="Y"/>
    <n v="2"/>
    <n v="-2"/>
    <n v="0"/>
    <x v="25"/>
    <n v="0"/>
    <m/>
    <n v="0"/>
    <n v="1"/>
    <n v="1066"/>
    <n v="2"/>
    <x v="0"/>
    <n v="1"/>
    <n v="4"/>
    <n v="32"/>
    <n v="4"/>
    <n v="2"/>
    <n v="4"/>
    <n v="5472"/>
    <n v="3334"/>
    <n v="1"/>
    <n v="12"/>
    <n v="3"/>
    <n v="2"/>
    <n v="80"/>
    <n v="0"/>
    <n v="8"/>
    <n v="3"/>
    <n v="8"/>
    <n v="7"/>
    <n v="1"/>
    <n v="3"/>
  </r>
  <r>
    <s v="No"/>
    <s v="Travel_Rarely"/>
    <x v="4"/>
    <s v="Current Employees"/>
    <x v="1"/>
    <x v="0"/>
    <s v="STAFF-1019"/>
    <x v="734"/>
    <x v="1"/>
    <x v="2"/>
    <x v="1"/>
    <s v="No"/>
    <s v="Y"/>
    <n v="3"/>
    <n v="-2"/>
    <n v="0"/>
    <x v="15"/>
    <n v="0"/>
    <m/>
    <n v="0"/>
    <n v="1"/>
    <n v="217"/>
    <n v="8"/>
    <x v="1"/>
    <n v="1"/>
    <n v="2"/>
    <n v="94"/>
    <n v="1"/>
    <n v="1"/>
    <n v="1"/>
    <n v="2451"/>
    <n v="6881"/>
    <n v="1"/>
    <n v="15"/>
    <n v="3"/>
    <n v="1"/>
    <n v="80"/>
    <n v="1"/>
    <n v="4"/>
    <n v="2"/>
    <n v="4"/>
    <n v="3"/>
    <n v="1"/>
    <n v="1"/>
  </r>
  <r>
    <s v="No"/>
    <s v="Travel_Rarely"/>
    <x v="1"/>
    <s v="Current Employees"/>
    <x v="1"/>
    <x v="0"/>
    <s v="STAFF-1022"/>
    <x v="735"/>
    <x v="1"/>
    <x v="4"/>
    <x v="0"/>
    <s v="No"/>
    <s v="Y"/>
    <n v="0"/>
    <n v="-2"/>
    <n v="0"/>
    <x v="26"/>
    <n v="0"/>
    <m/>
    <n v="0"/>
    <n v="1"/>
    <n v="277"/>
    <n v="6"/>
    <x v="3"/>
    <n v="1"/>
    <n v="1"/>
    <n v="97"/>
    <n v="2"/>
    <n v="2"/>
    <n v="1"/>
    <n v="4240"/>
    <n v="13119"/>
    <n v="2"/>
    <n v="13"/>
    <n v="3"/>
    <n v="4"/>
    <n v="80"/>
    <n v="0"/>
    <n v="19"/>
    <n v="3"/>
    <n v="2"/>
    <n v="2"/>
    <n v="2"/>
    <n v="2"/>
  </r>
  <r>
    <s v="No"/>
    <s v="Travel_Rarely"/>
    <x v="1"/>
    <s v="Current Employees"/>
    <x v="1"/>
    <x v="0"/>
    <s v="STAFF-1024"/>
    <x v="736"/>
    <x v="1"/>
    <x v="4"/>
    <x v="0"/>
    <s v="No"/>
    <s v="Y"/>
    <n v="3"/>
    <n v="-2"/>
    <n v="0"/>
    <x v="26"/>
    <n v="0"/>
    <m/>
    <n v="0"/>
    <n v="1"/>
    <n v="1355"/>
    <n v="4"/>
    <x v="2"/>
    <n v="1"/>
    <n v="3"/>
    <n v="78"/>
    <n v="2"/>
    <n v="3"/>
    <n v="1"/>
    <n v="10999"/>
    <n v="22245"/>
    <n v="7"/>
    <n v="14"/>
    <n v="3"/>
    <n v="2"/>
    <n v="80"/>
    <n v="0"/>
    <n v="27"/>
    <n v="3"/>
    <n v="15"/>
    <n v="11"/>
    <n v="4"/>
    <n v="8"/>
  </r>
  <r>
    <s v="No"/>
    <s v="Travel_Rarely"/>
    <x v="0"/>
    <s v="Current Employees"/>
    <x v="1"/>
    <x v="2"/>
    <s v="STAFF-1025"/>
    <x v="737"/>
    <x v="0"/>
    <x v="3"/>
    <x v="0"/>
    <s v="No"/>
    <s v="Y"/>
    <n v="6"/>
    <n v="-2"/>
    <n v="0"/>
    <x v="0"/>
    <n v="0"/>
    <m/>
    <n v="0"/>
    <n v="1"/>
    <n v="549"/>
    <n v="7"/>
    <x v="0"/>
    <n v="1"/>
    <n v="4"/>
    <n v="42"/>
    <n v="3"/>
    <n v="2"/>
    <n v="3"/>
    <n v="5003"/>
    <n v="23371"/>
    <n v="6"/>
    <n v="14"/>
    <n v="3"/>
    <n v="2"/>
    <n v="80"/>
    <n v="0"/>
    <n v="8"/>
    <n v="3"/>
    <n v="2"/>
    <n v="2"/>
    <n v="2"/>
    <n v="1"/>
  </r>
  <r>
    <s v="No"/>
    <s v="Travel_Rarely"/>
    <x v="0"/>
    <s v="Current Employees"/>
    <x v="1"/>
    <x v="0"/>
    <s v="STAFF-1026"/>
    <x v="738"/>
    <x v="0"/>
    <x v="3"/>
    <x v="1"/>
    <s v="No"/>
    <s v="Y"/>
    <n v="3"/>
    <n v="-2"/>
    <n v="0"/>
    <x v="22"/>
    <n v="0"/>
    <m/>
    <n v="0"/>
    <n v="1"/>
    <n v="466"/>
    <n v="1"/>
    <x v="1"/>
    <n v="1"/>
    <n v="4"/>
    <n v="65"/>
    <n v="2"/>
    <n v="4"/>
    <n v="1"/>
    <n v="12742"/>
    <n v="7060"/>
    <n v="1"/>
    <n v="16"/>
    <n v="3"/>
    <n v="3"/>
    <n v="80"/>
    <n v="1"/>
    <n v="21"/>
    <n v="3"/>
    <n v="21"/>
    <n v="6"/>
    <n v="11"/>
    <n v="8"/>
  </r>
  <r>
    <s v="No"/>
    <s v="Travel_Rarely"/>
    <x v="2"/>
    <s v="Current Employees"/>
    <x v="1"/>
    <x v="0"/>
    <s v="STAFF-1027"/>
    <x v="739"/>
    <x v="0"/>
    <x v="3"/>
    <x v="1"/>
    <s v="No"/>
    <s v="Y"/>
    <n v="2"/>
    <n v="-2"/>
    <n v="0"/>
    <x v="4"/>
    <n v="0"/>
    <m/>
    <n v="0"/>
    <n v="1"/>
    <n v="1055"/>
    <n v="2"/>
    <x v="2"/>
    <n v="1"/>
    <n v="1"/>
    <n v="47"/>
    <n v="3"/>
    <n v="2"/>
    <n v="1"/>
    <n v="4227"/>
    <n v="4658"/>
    <n v="0"/>
    <n v="18"/>
    <n v="3"/>
    <n v="2"/>
    <n v="80"/>
    <n v="1"/>
    <n v="4"/>
    <n v="3"/>
    <n v="3"/>
    <n v="2"/>
    <n v="2"/>
    <n v="2"/>
  </r>
  <r>
    <s v="No"/>
    <s v="Travel_Rarely"/>
    <x v="0"/>
    <s v="Current Employees"/>
    <x v="1"/>
    <x v="1"/>
    <s v="STAFF-1028"/>
    <x v="740"/>
    <x v="1"/>
    <x v="2"/>
    <x v="2"/>
    <s v="No"/>
    <s v="Y"/>
    <n v="4"/>
    <n v="-2"/>
    <n v="0"/>
    <x v="10"/>
    <n v="0"/>
    <m/>
    <n v="0"/>
    <n v="1"/>
    <n v="802"/>
    <n v="10"/>
    <x v="3"/>
    <n v="1"/>
    <n v="2"/>
    <n v="45"/>
    <n v="3"/>
    <n v="1"/>
    <n v="4"/>
    <n v="3917"/>
    <n v="9541"/>
    <n v="1"/>
    <n v="20"/>
    <n v="4"/>
    <n v="1"/>
    <n v="80"/>
    <n v="1"/>
    <n v="3"/>
    <n v="2"/>
    <n v="3"/>
    <n v="2"/>
    <n v="1"/>
    <n v="2"/>
  </r>
  <r>
    <s v="No"/>
    <s v="Travel_Rarely"/>
    <x v="0"/>
    <s v="Current Employees"/>
    <x v="0"/>
    <x v="3"/>
    <s v="STAFF-1029"/>
    <x v="741"/>
    <x v="1"/>
    <x v="5"/>
    <x v="1"/>
    <s v="No"/>
    <s v="Y"/>
    <n v="3"/>
    <n v="-2"/>
    <n v="0"/>
    <x v="19"/>
    <n v="0"/>
    <m/>
    <n v="0"/>
    <n v="1"/>
    <n v="265"/>
    <n v="5"/>
    <x v="0"/>
    <n v="1"/>
    <n v="4"/>
    <n v="90"/>
    <n v="3"/>
    <n v="5"/>
    <n v="2"/>
    <n v="18303"/>
    <n v="7770"/>
    <n v="6"/>
    <n v="13"/>
    <n v="3"/>
    <n v="2"/>
    <n v="80"/>
    <n v="0"/>
    <n v="21"/>
    <n v="4"/>
    <n v="1"/>
    <n v="0"/>
    <n v="0"/>
    <n v="0"/>
  </r>
  <r>
    <s v="No"/>
    <s v="Travel_Rarely"/>
    <x v="1"/>
    <s v="Current Employees"/>
    <x v="1"/>
    <x v="0"/>
    <s v="STAFF-1030"/>
    <x v="742"/>
    <x v="1"/>
    <x v="2"/>
    <x v="1"/>
    <s v="No"/>
    <s v="Y"/>
    <n v="5"/>
    <n v="-2"/>
    <n v="0"/>
    <x v="24"/>
    <n v="0"/>
    <m/>
    <n v="0"/>
    <n v="1"/>
    <n v="804"/>
    <n v="9"/>
    <x v="3"/>
    <n v="1"/>
    <n v="1"/>
    <n v="64"/>
    <n v="3"/>
    <n v="1"/>
    <n v="1"/>
    <n v="2380"/>
    <n v="20165"/>
    <n v="4"/>
    <n v="18"/>
    <n v="3"/>
    <n v="2"/>
    <n v="80"/>
    <n v="0"/>
    <n v="8"/>
    <n v="3"/>
    <n v="1"/>
    <n v="0"/>
    <n v="0"/>
    <n v="0"/>
  </r>
  <r>
    <s v="No"/>
    <s v="Travel_Rarely"/>
    <x v="3"/>
    <s v="Current Employees"/>
    <x v="1"/>
    <x v="0"/>
    <s v="STAFF-1032"/>
    <x v="743"/>
    <x v="0"/>
    <x v="3"/>
    <x v="0"/>
    <s v="Yes"/>
    <s v="Y"/>
    <n v="4"/>
    <n v="-2"/>
    <n v="0"/>
    <x v="6"/>
    <n v="0"/>
    <m/>
    <n v="0"/>
    <n v="1"/>
    <n v="715"/>
    <n v="2"/>
    <x v="3"/>
    <n v="1"/>
    <n v="3"/>
    <n v="69"/>
    <n v="2"/>
    <n v="4"/>
    <n v="1"/>
    <n v="13726"/>
    <n v="21829"/>
    <n v="3"/>
    <n v="13"/>
    <n v="3"/>
    <n v="1"/>
    <n v="80"/>
    <n v="0"/>
    <n v="30"/>
    <n v="3"/>
    <n v="5"/>
    <n v="3"/>
    <n v="4"/>
    <n v="3"/>
  </r>
  <r>
    <s v="Yes"/>
    <s v="Travel_Rarely"/>
    <x v="0"/>
    <s v="Ex-Employees"/>
    <x v="1"/>
    <x v="2"/>
    <s v="STAFF-1033"/>
    <x v="744"/>
    <x v="0"/>
    <x v="4"/>
    <x v="1"/>
    <s v="No"/>
    <s v="Y"/>
    <n v="2"/>
    <n v="-2"/>
    <n v="0"/>
    <x v="2"/>
    <n v="1"/>
    <n v="1"/>
    <n v="1"/>
    <n v="0"/>
    <n v="1141"/>
    <n v="11"/>
    <x v="0"/>
    <n v="1"/>
    <n v="1"/>
    <n v="61"/>
    <n v="1"/>
    <n v="2"/>
    <n v="3"/>
    <n v="4777"/>
    <n v="14382"/>
    <n v="5"/>
    <n v="15"/>
    <n v="3"/>
    <n v="1"/>
    <n v="80"/>
    <n v="0"/>
    <n v="15"/>
    <n v="1"/>
    <n v="1"/>
    <n v="0"/>
    <n v="0"/>
    <n v="0"/>
  </r>
  <r>
    <s v="No"/>
    <s v="Travel_Frequently"/>
    <x v="3"/>
    <s v="Current Employees"/>
    <x v="1"/>
    <x v="2"/>
    <s v="STAFF-1034"/>
    <x v="745"/>
    <x v="1"/>
    <x v="4"/>
    <x v="1"/>
    <s v="Yes"/>
    <s v="Y"/>
    <n v="3"/>
    <n v="-2"/>
    <n v="0"/>
    <x v="27"/>
    <n v="0"/>
    <m/>
    <n v="0"/>
    <n v="1"/>
    <n v="135"/>
    <n v="18"/>
    <x v="2"/>
    <n v="1"/>
    <n v="3"/>
    <n v="62"/>
    <n v="3"/>
    <n v="2"/>
    <n v="3"/>
    <n v="6385"/>
    <n v="12992"/>
    <n v="3"/>
    <n v="14"/>
    <n v="3"/>
    <n v="4"/>
    <n v="80"/>
    <n v="2"/>
    <n v="17"/>
    <n v="3"/>
    <n v="8"/>
    <n v="7"/>
    <n v="6"/>
    <n v="7"/>
  </r>
  <r>
    <s v="No"/>
    <s v="Non-Travel"/>
    <x v="0"/>
    <s v="Current Employees"/>
    <x v="1"/>
    <x v="0"/>
    <s v="STAFF-1035"/>
    <x v="746"/>
    <x v="0"/>
    <x v="7"/>
    <x v="2"/>
    <s v="No"/>
    <s v="Y"/>
    <n v="3"/>
    <n v="-2"/>
    <n v="0"/>
    <x v="0"/>
    <n v="0"/>
    <m/>
    <n v="0"/>
    <n v="1"/>
    <n v="247"/>
    <n v="7"/>
    <x v="1"/>
    <n v="1"/>
    <n v="2"/>
    <n v="55"/>
    <n v="1"/>
    <n v="5"/>
    <n v="1"/>
    <n v="19973"/>
    <n v="20284"/>
    <n v="1"/>
    <n v="22"/>
    <n v="4"/>
    <n v="2"/>
    <n v="80"/>
    <n v="2"/>
    <n v="21"/>
    <n v="3"/>
    <n v="21"/>
    <n v="16"/>
    <n v="5"/>
    <n v="10"/>
  </r>
  <r>
    <s v="No"/>
    <s v="Travel_Rarely"/>
    <x v="0"/>
    <s v="Current Employees"/>
    <x v="0"/>
    <x v="0"/>
    <s v="STAFF-1036"/>
    <x v="747"/>
    <x v="1"/>
    <x v="0"/>
    <x v="0"/>
    <s v="Yes"/>
    <s v="Y"/>
    <n v="1"/>
    <n v="-2"/>
    <n v="0"/>
    <x v="8"/>
    <n v="0"/>
    <m/>
    <n v="0"/>
    <n v="1"/>
    <n v="1035"/>
    <n v="3"/>
    <x v="2"/>
    <n v="1"/>
    <n v="2"/>
    <n v="42"/>
    <n v="3"/>
    <n v="2"/>
    <n v="1"/>
    <n v="6861"/>
    <n v="4981"/>
    <n v="8"/>
    <n v="12"/>
    <n v="3"/>
    <n v="3"/>
    <n v="80"/>
    <n v="0"/>
    <n v="19"/>
    <n v="3"/>
    <n v="1"/>
    <n v="0"/>
    <n v="0"/>
    <n v="0"/>
  </r>
  <r>
    <s v="Yes"/>
    <s v="Non-Travel"/>
    <x v="2"/>
    <s v="Ex-Employees"/>
    <x v="0"/>
    <x v="2"/>
    <s v="STAFF-1037"/>
    <x v="748"/>
    <x v="1"/>
    <x v="0"/>
    <x v="0"/>
    <s v="No"/>
    <s v="Y"/>
    <n v="6"/>
    <n v="-2"/>
    <n v="0"/>
    <x v="25"/>
    <n v="1"/>
    <n v="1"/>
    <n v="1"/>
    <n v="0"/>
    <n v="265"/>
    <n v="29"/>
    <x v="0"/>
    <n v="1"/>
    <n v="2"/>
    <n v="79"/>
    <n v="1"/>
    <n v="2"/>
    <n v="3"/>
    <n v="4969"/>
    <n v="21813"/>
    <n v="8"/>
    <n v="18"/>
    <n v="3"/>
    <n v="4"/>
    <n v="80"/>
    <n v="0"/>
    <n v="7"/>
    <n v="3"/>
    <n v="2"/>
    <n v="2"/>
    <n v="2"/>
    <n v="2"/>
  </r>
  <r>
    <s v="Yes"/>
    <s v="Travel_Rarely"/>
    <x v="1"/>
    <s v="Ex-Employees"/>
    <x v="0"/>
    <x v="3"/>
    <s v="STAFF-1038"/>
    <x v="749"/>
    <x v="0"/>
    <x v="5"/>
    <x v="1"/>
    <s v="No"/>
    <s v="Y"/>
    <n v="3"/>
    <n v="-2"/>
    <n v="0"/>
    <x v="39"/>
    <n v="1"/>
    <n v="1"/>
    <n v="1"/>
    <n v="0"/>
    <n v="266"/>
    <n v="2"/>
    <x v="1"/>
    <n v="1"/>
    <n v="1"/>
    <n v="57"/>
    <n v="1"/>
    <n v="5"/>
    <n v="2"/>
    <n v="19845"/>
    <n v="25846"/>
    <n v="1"/>
    <n v="15"/>
    <n v="3"/>
    <n v="4"/>
    <n v="80"/>
    <n v="1"/>
    <n v="33"/>
    <n v="3"/>
    <n v="32"/>
    <n v="14"/>
    <n v="6"/>
    <n v="9"/>
  </r>
  <r>
    <s v="No"/>
    <s v="Travel_Rarely"/>
    <x v="0"/>
    <s v="Current Employees"/>
    <x v="0"/>
    <x v="2"/>
    <s v="STAFF-1039"/>
    <x v="750"/>
    <x v="0"/>
    <x v="0"/>
    <x v="1"/>
    <s v="Yes"/>
    <s v="Y"/>
    <n v="2"/>
    <n v="-2"/>
    <n v="0"/>
    <x v="20"/>
    <n v="0"/>
    <m/>
    <n v="0"/>
    <n v="1"/>
    <n v="1448"/>
    <n v="28"/>
    <x v="3"/>
    <n v="1"/>
    <n v="4"/>
    <n v="53"/>
    <n v="4"/>
    <n v="4"/>
    <n v="4"/>
    <n v="13320"/>
    <n v="11737"/>
    <n v="3"/>
    <n v="18"/>
    <n v="3"/>
    <n v="3"/>
    <n v="80"/>
    <n v="1"/>
    <n v="23"/>
    <n v="3"/>
    <n v="12"/>
    <n v="11"/>
    <n v="11"/>
    <n v="11"/>
  </r>
  <r>
    <s v="No"/>
    <s v="Non-Travel"/>
    <x v="1"/>
    <s v="Current Employees"/>
    <x v="0"/>
    <x v="0"/>
    <s v="STAFF-1040"/>
    <x v="751"/>
    <x v="0"/>
    <x v="0"/>
    <x v="1"/>
    <s v="No"/>
    <s v="Y"/>
    <n v="3"/>
    <n v="-2"/>
    <n v="0"/>
    <x v="24"/>
    <n v="0"/>
    <m/>
    <n v="0"/>
    <n v="1"/>
    <n v="145"/>
    <n v="1"/>
    <x v="3"/>
    <n v="1"/>
    <n v="4"/>
    <n v="95"/>
    <n v="3"/>
    <n v="2"/>
    <n v="1"/>
    <n v="6347"/>
    <n v="24920"/>
    <n v="0"/>
    <n v="12"/>
    <n v="3"/>
    <n v="1"/>
    <n v="80"/>
    <n v="1"/>
    <n v="19"/>
    <n v="3"/>
    <n v="18"/>
    <n v="7"/>
    <n v="0"/>
    <n v="13"/>
  </r>
  <r>
    <s v="Yes"/>
    <s v="Travel_Rarely"/>
    <x v="0"/>
    <s v="Ex-Employees"/>
    <x v="1"/>
    <x v="0"/>
    <s v="STAFF-1042"/>
    <x v="752"/>
    <x v="0"/>
    <x v="2"/>
    <x v="0"/>
    <s v="No"/>
    <s v="Y"/>
    <n v="1"/>
    <n v="-2"/>
    <n v="0"/>
    <x v="9"/>
    <n v="1"/>
    <n v="1"/>
    <n v="1"/>
    <n v="0"/>
    <n v="885"/>
    <n v="16"/>
    <x v="2"/>
    <n v="1"/>
    <n v="3"/>
    <n v="43"/>
    <n v="4"/>
    <n v="1"/>
    <n v="1"/>
    <n v="2743"/>
    <n v="8269"/>
    <n v="1"/>
    <n v="16"/>
    <n v="3"/>
    <n v="3"/>
    <n v="80"/>
    <n v="0"/>
    <n v="18"/>
    <n v="3"/>
    <n v="17"/>
    <n v="13"/>
    <n v="15"/>
    <n v="14"/>
  </r>
  <r>
    <s v="No"/>
    <s v="Travel_Frequently"/>
    <x v="0"/>
    <s v="Current Employees"/>
    <x v="1"/>
    <x v="2"/>
    <s v="STAFF-1043"/>
    <x v="753"/>
    <x v="0"/>
    <x v="3"/>
    <x v="0"/>
    <s v="Yes"/>
    <s v="Y"/>
    <n v="2"/>
    <n v="-2"/>
    <n v="0"/>
    <x v="22"/>
    <n v="0"/>
    <m/>
    <n v="0"/>
    <n v="1"/>
    <n v="945"/>
    <n v="22"/>
    <x v="3"/>
    <n v="1"/>
    <n v="4"/>
    <n v="82"/>
    <n v="3"/>
    <n v="3"/>
    <n v="3"/>
    <n v="10880"/>
    <n v="5083"/>
    <n v="1"/>
    <n v="13"/>
    <n v="3"/>
    <n v="3"/>
    <n v="80"/>
    <n v="0"/>
    <n v="21"/>
    <n v="3"/>
    <n v="21"/>
    <n v="6"/>
    <n v="2"/>
    <n v="8"/>
  </r>
  <r>
    <s v="No"/>
    <s v="Non-Travel"/>
    <x v="2"/>
    <s v="Current Employees"/>
    <x v="0"/>
    <x v="0"/>
    <s v="STAFF-1044"/>
    <x v="754"/>
    <x v="0"/>
    <x v="6"/>
    <x v="0"/>
    <s v="No"/>
    <s v="Y"/>
    <n v="2"/>
    <n v="-2"/>
    <n v="0"/>
    <x v="3"/>
    <n v="0"/>
    <m/>
    <n v="0"/>
    <n v="1"/>
    <n v="1038"/>
    <n v="8"/>
    <x v="1"/>
    <n v="1"/>
    <n v="2"/>
    <n v="88"/>
    <n v="2"/>
    <n v="1"/>
    <n v="1"/>
    <n v="2342"/>
    <n v="21437"/>
    <n v="0"/>
    <n v="19"/>
    <n v="3"/>
    <n v="4"/>
    <n v="80"/>
    <n v="0"/>
    <n v="3"/>
    <n v="2"/>
    <n v="2"/>
    <n v="2"/>
    <n v="2"/>
    <n v="2"/>
  </r>
  <r>
    <s v="No"/>
    <s v="Travel_Rarely"/>
    <x v="1"/>
    <s v="Current Employees"/>
    <x v="0"/>
    <x v="0"/>
    <s v="STAFF-1045"/>
    <x v="755"/>
    <x v="0"/>
    <x v="5"/>
    <x v="1"/>
    <s v="No"/>
    <s v="Y"/>
    <n v="4"/>
    <n v="-2"/>
    <n v="0"/>
    <x v="28"/>
    <n v="0"/>
    <m/>
    <n v="0"/>
    <n v="1"/>
    <n v="1234"/>
    <n v="11"/>
    <x v="0"/>
    <n v="1"/>
    <n v="4"/>
    <n v="90"/>
    <n v="3"/>
    <n v="4"/>
    <n v="1"/>
    <n v="17650"/>
    <n v="5404"/>
    <n v="3"/>
    <n v="13"/>
    <n v="3"/>
    <n v="2"/>
    <n v="80"/>
    <n v="1"/>
    <n v="26"/>
    <n v="4"/>
    <n v="9"/>
    <n v="3"/>
    <n v="1"/>
    <n v="1"/>
  </r>
  <r>
    <s v="No"/>
    <s v="Non-Travel"/>
    <x v="2"/>
    <s v="Current Employees"/>
    <x v="1"/>
    <x v="2"/>
    <s v="STAFF-1046"/>
    <x v="756"/>
    <x v="0"/>
    <x v="2"/>
    <x v="0"/>
    <s v="No"/>
    <s v="Y"/>
    <n v="2"/>
    <n v="-2"/>
    <n v="0"/>
    <x v="5"/>
    <n v="0"/>
    <m/>
    <n v="0"/>
    <n v="1"/>
    <n v="1109"/>
    <n v="29"/>
    <x v="2"/>
    <n v="1"/>
    <n v="4"/>
    <n v="69"/>
    <n v="3"/>
    <n v="1"/>
    <n v="3"/>
    <n v="4025"/>
    <n v="11135"/>
    <n v="9"/>
    <n v="12"/>
    <n v="3"/>
    <n v="2"/>
    <n v="80"/>
    <n v="0"/>
    <n v="10"/>
    <n v="3"/>
    <n v="8"/>
    <n v="7"/>
    <n v="7"/>
    <n v="7"/>
  </r>
  <r>
    <s v="No"/>
    <s v="Travel_Rarely"/>
    <x v="2"/>
    <s v="Current Employees"/>
    <x v="0"/>
    <x v="3"/>
    <s v="STAFF-1047"/>
    <x v="757"/>
    <x v="1"/>
    <x v="0"/>
    <x v="2"/>
    <s v="No"/>
    <s v="Y"/>
    <n v="2"/>
    <n v="-2"/>
    <n v="0"/>
    <x v="13"/>
    <n v="0"/>
    <m/>
    <n v="0"/>
    <n v="1"/>
    <n v="216"/>
    <n v="1"/>
    <x v="2"/>
    <n v="1"/>
    <n v="2"/>
    <n v="75"/>
    <n v="4"/>
    <n v="2"/>
    <n v="2"/>
    <n v="9725"/>
    <n v="12278"/>
    <n v="0"/>
    <n v="11"/>
    <n v="3"/>
    <n v="4"/>
    <n v="80"/>
    <n v="1"/>
    <n v="16"/>
    <n v="2"/>
    <n v="15"/>
    <n v="1"/>
    <n v="0"/>
    <n v="9"/>
  </r>
  <r>
    <s v="No"/>
    <s v="Travel_Rarely"/>
    <x v="3"/>
    <s v="Current Employees"/>
    <x v="0"/>
    <x v="4"/>
    <s v="STAFF-1048"/>
    <x v="758"/>
    <x v="1"/>
    <x v="5"/>
    <x v="1"/>
    <s v="Yes"/>
    <s v="Y"/>
    <n v="1"/>
    <n v="-2"/>
    <n v="0"/>
    <x v="6"/>
    <n v="0"/>
    <m/>
    <n v="0"/>
    <n v="1"/>
    <n v="1089"/>
    <n v="1"/>
    <x v="0"/>
    <n v="1"/>
    <n v="4"/>
    <n v="66"/>
    <n v="3"/>
    <n v="3"/>
    <n v="4"/>
    <n v="11904"/>
    <n v="11038"/>
    <n v="3"/>
    <n v="14"/>
    <n v="3"/>
    <n v="3"/>
    <n v="80"/>
    <n v="1"/>
    <n v="14"/>
    <n v="1"/>
    <n v="6"/>
    <n v="4"/>
    <n v="0"/>
    <n v="4"/>
  </r>
  <r>
    <s v="No"/>
    <s v="Travel_Rarely"/>
    <x v="1"/>
    <s v="Current Employees"/>
    <x v="2"/>
    <x v="2"/>
    <s v="STAFF-1049"/>
    <x v="759"/>
    <x v="1"/>
    <x v="8"/>
    <x v="0"/>
    <s v="No"/>
    <s v="Y"/>
    <n v="3"/>
    <n v="-2"/>
    <n v="0"/>
    <x v="28"/>
    <n v="0"/>
    <m/>
    <n v="0"/>
    <n v="1"/>
    <n v="788"/>
    <n v="24"/>
    <x v="2"/>
    <n v="1"/>
    <n v="2"/>
    <n v="36"/>
    <n v="3"/>
    <n v="1"/>
    <n v="3"/>
    <n v="2177"/>
    <n v="8318"/>
    <n v="1"/>
    <n v="16"/>
    <n v="3"/>
    <n v="1"/>
    <n v="80"/>
    <n v="0"/>
    <n v="6"/>
    <n v="3"/>
    <n v="6"/>
    <n v="3"/>
    <n v="0"/>
    <n v="4"/>
  </r>
  <r>
    <s v="No"/>
    <s v="Travel_Frequently"/>
    <x v="1"/>
    <s v="Current Employees"/>
    <x v="0"/>
    <x v="3"/>
    <s v="STAFF-1050"/>
    <x v="760"/>
    <x v="0"/>
    <x v="0"/>
    <x v="1"/>
    <s v="No"/>
    <s v="Y"/>
    <n v="2"/>
    <n v="-2"/>
    <n v="0"/>
    <x v="16"/>
    <n v="0"/>
    <m/>
    <n v="0"/>
    <n v="1"/>
    <n v="124"/>
    <n v="2"/>
    <x v="3"/>
    <n v="1"/>
    <n v="3"/>
    <n v="38"/>
    <n v="2"/>
    <n v="3"/>
    <n v="2"/>
    <n v="7525"/>
    <n v="23537"/>
    <n v="2"/>
    <n v="12"/>
    <n v="3"/>
    <n v="1"/>
    <n v="80"/>
    <n v="1"/>
    <n v="30"/>
    <n v="3"/>
    <n v="15"/>
    <n v="7"/>
    <n v="6"/>
    <n v="12"/>
  </r>
  <r>
    <s v="Yes"/>
    <s v="Travel_Rarely"/>
    <x v="0"/>
    <s v="Ex-Employees"/>
    <x v="1"/>
    <x v="1"/>
    <s v="STAFF-1052"/>
    <x v="761"/>
    <x v="1"/>
    <x v="2"/>
    <x v="2"/>
    <s v="No"/>
    <s v="Y"/>
    <n v="3"/>
    <n v="-2"/>
    <n v="0"/>
    <x v="9"/>
    <n v="1"/>
    <n v="1"/>
    <n v="1"/>
    <n v="0"/>
    <n v="660"/>
    <n v="15"/>
    <x v="3"/>
    <n v="1"/>
    <n v="1"/>
    <n v="81"/>
    <n v="3"/>
    <n v="2"/>
    <n v="3"/>
    <n v="4834"/>
    <n v="7858"/>
    <n v="7"/>
    <n v="14"/>
    <n v="3"/>
    <n v="2"/>
    <n v="80"/>
    <n v="1"/>
    <n v="9"/>
    <n v="2"/>
    <n v="1"/>
    <n v="0"/>
    <n v="0"/>
    <n v="0"/>
  </r>
  <r>
    <s v="Yes"/>
    <s v="Travel_Frequently"/>
    <x v="2"/>
    <s v="Ex-Employees"/>
    <x v="1"/>
    <x v="0"/>
    <s v="STAFF-1053"/>
    <x v="762"/>
    <x v="1"/>
    <x v="1"/>
    <x v="1"/>
    <s v="Yes"/>
    <s v="Y"/>
    <n v="2"/>
    <n v="-2"/>
    <n v="0"/>
    <x v="25"/>
    <n v="1"/>
    <n v="1"/>
    <n v="1"/>
    <n v="0"/>
    <n v="342"/>
    <n v="2"/>
    <x v="3"/>
    <n v="1"/>
    <n v="1"/>
    <n v="57"/>
    <n v="3"/>
    <n v="1"/>
    <n v="1"/>
    <n v="2042"/>
    <n v="15346"/>
    <n v="6"/>
    <n v="14"/>
    <n v="3"/>
    <n v="2"/>
    <n v="80"/>
    <n v="1"/>
    <n v="6"/>
    <n v="3"/>
    <n v="3"/>
    <n v="2"/>
    <n v="1"/>
    <n v="2"/>
  </r>
  <r>
    <s v="No"/>
    <s v="Travel_Rarely"/>
    <x v="2"/>
    <s v="Current Employees"/>
    <x v="0"/>
    <x v="0"/>
    <s v="STAFF-1055"/>
    <x v="763"/>
    <x v="0"/>
    <x v="6"/>
    <x v="1"/>
    <s v="Yes"/>
    <s v="Y"/>
    <n v="2"/>
    <n v="-2"/>
    <n v="0"/>
    <x v="13"/>
    <n v="0"/>
    <m/>
    <n v="0"/>
    <n v="1"/>
    <n v="1333"/>
    <n v="10"/>
    <x v="2"/>
    <n v="1"/>
    <n v="3"/>
    <n v="87"/>
    <n v="3"/>
    <n v="1"/>
    <n v="1"/>
    <n v="2220"/>
    <n v="18410"/>
    <n v="1"/>
    <n v="19"/>
    <n v="3"/>
    <n v="4"/>
    <n v="80"/>
    <n v="1"/>
    <n v="1"/>
    <n v="3"/>
    <n v="1"/>
    <n v="1"/>
    <n v="0"/>
    <n v="0"/>
  </r>
  <r>
    <s v="No"/>
    <s v="Travel_Rarely"/>
    <x v="2"/>
    <s v="Current Employees"/>
    <x v="0"/>
    <x v="2"/>
    <s v="STAFF-1056"/>
    <x v="764"/>
    <x v="1"/>
    <x v="6"/>
    <x v="1"/>
    <s v="No"/>
    <s v="Y"/>
    <n v="5"/>
    <n v="-2"/>
    <n v="0"/>
    <x v="14"/>
    <n v="0"/>
    <m/>
    <n v="0"/>
    <n v="1"/>
    <n v="1144"/>
    <n v="10"/>
    <x v="1"/>
    <n v="1"/>
    <n v="4"/>
    <n v="74"/>
    <n v="3"/>
    <n v="1"/>
    <n v="3"/>
    <n v="1052"/>
    <n v="23384"/>
    <n v="1"/>
    <n v="22"/>
    <n v="4"/>
    <n v="2"/>
    <n v="80"/>
    <n v="0"/>
    <n v="1"/>
    <n v="3"/>
    <n v="1"/>
    <n v="0"/>
    <n v="0"/>
    <n v="0"/>
  </r>
  <r>
    <s v="No"/>
    <s v="Travel_Frequently"/>
    <x v="0"/>
    <s v="Current Employees"/>
    <x v="1"/>
    <x v="1"/>
    <s v="STAFF-1060"/>
    <x v="765"/>
    <x v="1"/>
    <x v="1"/>
    <x v="1"/>
    <s v="No"/>
    <s v="Y"/>
    <n v="2"/>
    <n v="-2"/>
    <n v="0"/>
    <x v="8"/>
    <n v="0"/>
    <m/>
    <n v="0"/>
    <n v="1"/>
    <n v="1186"/>
    <n v="3"/>
    <x v="2"/>
    <n v="1"/>
    <n v="3"/>
    <n v="44"/>
    <n v="3"/>
    <n v="1"/>
    <n v="3"/>
    <n v="2821"/>
    <n v="2997"/>
    <n v="3"/>
    <n v="16"/>
    <n v="3"/>
    <n v="1"/>
    <n v="80"/>
    <n v="1"/>
    <n v="8"/>
    <n v="3"/>
    <n v="2"/>
    <n v="2"/>
    <n v="2"/>
    <n v="2"/>
  </r>
  <r>
    <s v="No"/>
    <s v="Travel_Rarely"/>
    <x v="1"/>
    <s v="Current Employees"/>
    <x v="1"/>
    <x v="2"/>
    <s v="STAFF-1061"/>
    <x v="766"/>
    <x v="1"/>
    <x v="7"/>
    <x v="1"/>
    <s v="Yes"/>
    <s v="Y"/>
    <n v="2"/>
    <n v="-2"/>
    <n v="0"/>
    <x v="24"/>
    <n v="0"/>
    <m/>
    <n v="0"/>
    <n v="1"/>
    <n v="1464"/>
    <n v="2"/>
    <x v="2"/>
    <n v="1"/>
    <n v="2"/>
    <n v="62"/>
    <n v="3"/>
    <n v="5"/>
    <n v="3"/>
    <n v="19237"/>
    <n v="12853"/>
    <n v="2"/>
    <n v="11"/>
    <n v="3"/>
    <n v="4"/>
    <n v="80"/>
    <n v="1"/>
    <n v="29"/>
    <n v="2"/>
    <n v="8"/>
    <n v="1"/>
    <n v="7"/>
    <n v="7"/>
  </r>
  <r>
    <s v="No"/>
    <s v="Travel_Rarely"/>
    <x v="0"/>
    <s v="Current Employees"/>
    <x v="1"/>
    <x v="1"/>
    <s v="STAFF-1062"/>
    <x v="767"/>
    <x v="0"/>
    <x v="4"/>
    <x v="0"/>
    <s v="No"/>
    <s v="Y"/>
    <n v="3"/>
    <n v="-2"/>
    <n v="0"/>
    <x v="2"/>
    <n v="0"/>
    <m/>
    <n v="0"/>
    <n v="1"/>
    <n v="124"/>
    <n v="3"/>
    <x v="3"/>
    <n v="1"/>
    <n v="4"/>
    <n v="35"/>
    <n v="3"/>
    <n v="2"/>
    <n v="3"/>
    <n v="4107"/>
    <n v="13848"/>
    <n v="3"/>
    <n v="15"/>
    <n v="3"/>
    <n v="1"/>
    <n v="80"/>
    <n v="0"/>
    <n v="8"/>
    <n v="2"/>
    <n v="4"/>
    <n v="3"/>
    <n v="0"/>
    <n v="1"/>
  </r>
  <r>
    <s v="No"/>
    <s v="Travel_Rarely"/>
    <x v="0"/>
    <s v="Current Employees"/>
    <x v="0"/>
    <x v="3"/>
    <s v="STAFF-1066"/>
    <x v="768"/>
    <x v="1"/>
    <x v="0"/>
    <x v="1"/>
    <s v="No"/>
    <s v="Y"/>
    <n v="3"/>
    <n v="-2"/>
    <n v="0"/>
    <x v="32"/>
    <n v="0"/>
    <m/>
    <n v="0"/>
    <n v="1"/>
    <n v="300"/>
    <n v="26"/>
    <x v="3"/>
    <n v="1"/>
    <n v="3"/>
    <n v="74"/>
    <n v="3"/>
    <n v="2"/>
    <n v="2"/>
    <n v="8396"/>
    <n v="22217"/>
    <n v="1"/>
    <n v="14"/>
    <n v="3"/>
    <n v="2"/>
    <n v="80"/>
    <n v="1"/>
    <n v="8"/>
    <n v="2"/>
    <n v="7"/>
    <n v="7"/>
    <n v="7"/>
    <n v="5"/>
  </r>
  <r>
    <s v="No"/>
    <s v="Travel_Frequently"/>
    <x v="2"/>
    <s v="Current Employees"/>
    <x v="1"/>
    <x v="2"/>
    <s v="STAFF-1068"/>
    <x v="769"/>
    <x v="0"/>
    <x v="1"/>
    <x v="2"/>
    <s v="No"/>
    <s v="Y"/>
    <n v="5"/>
    <n v="-2"/>
    <n v="0"/>
    <x v="25"/>
    <n v="0"/>
    <m/>
    <n v="0"/>
    <n v="1"/>
    <n v="921"/>
    <n v="1"/>
    <x v="1"/>
    <n v="1"/>
    <n v="1"/>
    <n v="66"/>
    <n v="2"/>
    <n v="1"/>
    <n v="3"/>
    <n v="2007"/>
    <n v="25265"/>
    <n v="1"/>
    <n v="13"/>
    <n v="3"/>
    <n v="3"/>
    <n v="80"/>
    <n v="2"/>
    <n v="5"/>
    <n v="3"/>
    <n v="5"/>
    <n v="3"/>
    <n v="1"/>
    <n v="3"/>
  </r>
  <r>
    <s v="No"/>
    <s v="Travel_Rarely"/>
    <x v="1"/>
    <s v="Current Employees"/>
    <x v="1"/>
    <x v="2"/>
    <s v="STAFF-1069"/>
    <x v="770"/>
    <x v="1"/>
    <x v="7"/>
    <x v="2"/>
    <s v="No"/>
    <s v="Y"/>
    <n v="0"/>
    <n v="-2"/>
    <n v="0"/>
    <x v="21"/>
    <n v="0"/>
    <m/>
    <n v="0"/>
    <n v="1"/>
    <n v="430"/>
    <n v="1"/>
    <x v="2"/>
    <n v="1"/>
    <n v="4"/>
    <n v="40"/>
    <n v="3"/>
    <n v="5"/>
    <n v="4"/>
    <n v="19627"/>
    <n v="21445"/>
    <n v="9"/>
    <n v="17"/>
    <n v="3"/>
    <n v="4"/>
    <n v="80"/>
    <n v="2"/>
    <n v="23"/>
    <n v="3"/>
    <n v="2"/>
    <n v="2"/>
    <n v="2"/>
    <n v="2"/>
  </r>
  <r>
    <s v="No"/>
    <s v="Travel_Rarely"/>
    <x v="1"/>
    <s v="Current Employees"/>
    <x v="0"/>
    <x v="0"/>
    <s v="STAFF-1070"/>
    <x v="771"/>
    <x v="0"/>
    <x v="0"/>
    <x v="1"/>
    <s v="No"/>
    <s v="Y"/>
    <n v="4"/>
    <n v="-2"/>
    <n v="0"/>
    <x v="33"/>
    <n v="0"/>
    <m/>
    <n v="0"/>
    <n v="1"/>
    <n v="1082"/>
    <n v="2"/>
    <x v="2"/>
    <n v="1"/>
    <n v="3"/>
    <n v="41"/>
    <n v="2"/>
    <n v="3"/>
    <n v="1"/>
    <n v="10686"/>
    <n v="8392"/>
    <n v="6"/>
    <n v="11"/>
    <n v="3"/>
    <n v="2"/>
    <n v="80"/>
    <n v="1"/>
    <n v="13"/>
    <n v="3"/>
    <n v="9"/>
    <n v="4"/>
    <n v="7"/>
    <n v="0"/>
  </r>
  <r>
    <s v="No"/>
    <s v="Travel_Frequently"/>
    <x v="3"/>
    <s v="Current Employees"/>
    <x v="1"/>
    <x v="2"/>
    <s v="STAFF-1071"/>
    <x v="772"/>
    <x v="0"/>
    <x v="1"/>
    <x v="1"/>
    <s v="No"/>
    <s v="Y"/>
    <n v="4"/>
    <n v="-2"/>
    <n v="0"/>
    <x v="29"/>
    <n v="0"/>
    <m/>
    <n v="0"/>
    <n v="1"/>
    <n v="1240"/>
    <n v="9"/>
    <x v="3"/>
    <n v="1"/>
    <n v="1"/>
    <n v="63"/>
    <n v="3"/>
    <n v="1"/>
    <n v="3"/>
    <n v="2942"/>
    <n v="12154"/>
    <n v="2"/>
    <n v="19"/>
    <n v="3"/>
    <n v="2"/>
    <n v="80"/>
    <n v="1"/>
    <n v="18"/>
    <n v="3"/>
    <n v="5"/>
    <n v="4"/>
    <n v="0"/>
    <n v="3"/>
  </r>
  <r>
    <s v="No"/>
    <s v="Travel_Rarely"/>
    <x v="0"/>
    <s v="Current Employees"/>
    <x v="1"/>
    <x v="2"/>
    <s v="STAFF-1073"/>
    <x v="773"/>
    <x v="0"/>
    <x v="3"/>
    <x v="0"/>
    <s v="No"/>
    <s v="Y"/>
    <n v="2"/>
    <n v="-2"/>
    <n v="0"/>
    <x v="9"/>
    <n v="0"/>
    <m/>
    <n v="0"/>
    <n v="1"/>
    <n v="796"/>
    <n v="12"/>
    <x v="4"/>
    <n v="1"/>
    <n v="4"/>
    <n v="51"/>
    <n v="2"/>
    <n v="3"/>
    <n v="4"/>
    <n v="8858"/>
    <n v="15669"/>
    <n v="0"/>
    <n v="11"/>
    <n v="3"/>
    <n v="2"/>
    <n v="80"/>
    <n v="0"/>
    <n v="15"/>
    <n v="2"/>
    <n v="14"/>
    <n v="8"/>
    <n v="7"/>
    <n v="8"/>
  </r>
  <r>
    <s v="No"/>
    <s v="Non-Travel"/>
    <x v="3"/>
    <s v="Current Employees"/>
    <x v="1"/>
    <x v="2"/>
    <s v="STAFF-1074"/>
    <x v="774"/>
    <x v="1"/>
    <x v="5"/>
    <x v="0"/>
    <s v="No"/>
    <s v="Y"/>
    <n v="3"/>
    <n v="-2"/>
    <n v="0"/>
    <x v="27"/>
    <n v="0"/>
    <m/>
    <n v="0"/>
    <n v="1"/>
    <n v="444"/>
    <n v="2"/>
    <x v="1"/>
    <n v="1"/>
    <n v="3"/>
    <n v="40"/>
    <n v="2"/>
    <n v="4"/>
    <n v="3"/>
    <n v="16756"/>
    <n v="17323"/>
    <n v="7"/>
    <n v="15"/>
    <n v="3"/>
    <n v="2"/>
    <n v="80"/>
    <n v="0"/>
    <n v="31"/>
    <n v="4"/>
    <n v="9"/>
    <n v="7"/>
    <n v="6"/>
    <n v="2"/>
  </r>
  <r>
    <s v="No"/>
    <s v="Travel_Rarely"/>
    <x v="0"/>
    <s v="Current Employees"/>
    <x v="0"/>
    <x v="2"/>
    <s v="STAFF-1076"/>
    <x v="775"/>
    <x v="1"/>
    <x v="0"/>
    <x v="2"/>
    <s v="No"/>
    <s v="Y"/>
    <n v="5"/>
    <n v="-2"/>
    <n v="0"/>
    <x v="23"/>
    <n v="0"/>
    <m/>
    <n v="0"/>
    <n v="1"/>
    <n v="415"/>
    <n v="25"/>
    <x v="3"/>
    <n v="1"/>
    <n v="3"/>
    <n v="79"/>
    <n v="2"/>
    <n v="3"/>
    <n v="4"/>
    <n v="10798"/>
    <n v="5268"/>
    <n v="5"/>
    <n v="13"/>
    <n v="3"/>
    <n v="3"/>
    <n v="80"/>
    <n v="1"/>
    <n v="18"/>
    <n v="3"/>
    <n v="1"/>
    <n v="0"/>
    <n v="0"/>
    <n v="0"/>
  </r>
  <r>
    <s v="Yes"/>
    <s v="Travel_Frequently"/>
    <x v="4"/>
    <s v="Ex-Employees"/>
    <x v="0"/>
    <x v="3"/>
    <s v="STAFF-1077"/>
    <x v="776"/>
    <x v="0"/>
    <x v="6"/>
    <x v="0"/>
    <s v="Yes"/>
    <s v="Y"/>
    <n v="3"/>
    <n v="-2"/>
    <n v="0"/>
    <x v="35"/>
    <n v="1"/>
    <n v="1"/>
    <n v="1"/>
    <n v="0"/>
    <n v="769"/>
    <n v="9"/>
    <x v="3"/>
    <n v="1"/>
    <n v="4"/>
    <n v="54"/>
    <n v="3"/>
    <n v="1"/>
    <n v="2"/>
    <n v="2323"/>
    <n v="17205"/>
    <n v="1"/>
    <n v="14"/>
    <n v="3"/>
    <n v="2"/>
    <n v="80"/>
    <n v="0"/>
    <n v="2"/>
    <n v="3"/>
    <n v="2"/>
    <n v="2"/>
    <n v="0"/>
    <n v="2"/>
  </r>
  <r>
    <s v="Yes"/>
    <s v="Travel_Rarely"/>
    <x v="4"/>
    <s v="Ex-Employees"/>
    <x v="1"/>
    <x v="0"/>
    <s v="STAFF-1079"/>
    <x v="777"/>
    <x v="0"/>
    <x v="2"/>
    <x v="0"/>
    <s v="No"/>
    <s v="Y"/>
    <n v="6"/>
    <n v="-2"/>
    <n v="0"/>
    <x v="18"/>
    <n v="1"/>
    <n v="1"/>
    <n v="1"/>
    <n v="0"/>
    <n v="1334"/>
    <n v="10"/>
    <x v="3"/>
    <n v="1"/>
    <n v="3"/>
    <n v="36"/>
    <n v="2"/>
    <n v="1"/>
    <n v="1"/>
    <n v="1416"/>
    <n v="17258"/>
    <n v="1"/>
    <n v="13"/>
    <n v="3"/>
    <n v="1"/>
    <n v="80"/>
    <n v="0"/>
    <n v="1"/>
    <n v="2"/>
    <n v="1"/>
    <n v="0"/>
    <n v="1"/>
    <n v="0"/>
  </r>
  <r>
    <s v="No"/>
    <s v="Travel_Rarely"/>
    <x v="1"/>
    <s v="Current Employees"/>
    <x v="1"/>
    <x v="0"/>
    <s v="STAFF-1080"/>
    <x v="778"/>
    <x v="0"/>
    <x v="1"/>
    <x v="2"/>
    <s v="Yes"/>
    <s v="Y"/>
    <n v="2"/>
    <n v="-2"/>
    <n v="0"/>
    <x v="21"/>
    <n v="0"/>
    <m/>
    <n v="0"/>
    <n v="1"/>
    <n v="1003"/>
    <n v="8"/>
    <x v="2"/>
    <n v="1"/>
    <n v="4"/>
    <n v="74"/>
    <n v="2"/>
    <n v="2"/>
    <n v="1"/>
    <n v="4615"/>
    <n v="21029"/>
    <n v="8"/>
    <n v="23"/>
    <n v="4"/>
    <n v="1"/>
    <n v="80"/>
    <n v="3"/>
    <n v="19"/>
    <n v="3"/>
    <n v="16"/>
    <n v="13"/>
    <n v="1"/>
    <n v="7"/>
  </r>
  <r>
    <s v="Yes"/>
    <s v="Travel_Rarely"/>
    <x v="1"/>
    <s v="Ex-Employees"/>
    <x v="1"/>
    <x v="0"/>
    <s v="STAFF-1081"/>
    <x v="779"/>
    <x v="1"/>
    <x v="1"/>
    <x v="1"/>
    <s v="Yes"/>
    <s v="Y"/>
    <n v="2"/>
    <n v="-2"/>
    <n v="0"/>
    <x v="31"/>
    <n v="1"/>
    <n v="1"/>
    <n v="1"/>
    <n v="0"/>
    <n v="1323"/>
    <n v="4"/>
    <x v="2"/>
    <n v="1"/>
    <n v="1"/>
    <n v="34"/>
    <n v="3"/>
    <n v="1"/>
    <n v="1"/>
    <n v="2461"/>
    <n v="10332"/>
    <n v="9"/>
    <n v="12"/>
    <n v="3"/>
    <n v="3"/>
    <n v="80"/>
    <n v="3"/>
    <n v="18"/>
    <n v="4"/>
    <n v="10"/>
    <n v="0"/>
    <n v="2"/>
    <n v="7"/>
  </r>
  <r>
    <s v="Yes"/>
    <s v="Non-Travel"/>
    <x v="2"/>
    <s v="Ex-Employees"/>
    <x v="1"/>
    <x v="4"/>
    <s v="STAFF-1082"/>
    <x v="780"/>
    <x v="1"/>
    <x v="4"/>
    <x v="0"/>
    <s v="No"/>
    <s v="Y"/>
    <n v="2"/>
    <n v="-2"/>
    <n v="0"/>
    <x v="14"/>
    <n v="1"/>
    <n v="1"/>
    <n v="1"/>
    <n v="0"/>
    <n v="1366"/>
    <n v="24"/>
    <x v="0"/>
    <n v="1"/>
    <n v="4"/>
    <n v="72"/>
    <n v="2"/>
    <n v="3"/>
    <n v="4"/>
    <n v="8722"/>
    <n v="12355"/>
    <n v="1"/>
    <n v="12"/>
    <n v="3"/>
    <n v="1"/>
    <n v="80"/>
    <n v="0"/>
    <n v="10"/>
    <n v="2"/>
    <n v="10"/>
    <n v="7"/>
    <n v="1"/>
    <n v="9"/>
  </r>
  <r>
    <s v="No"/>
    <s v="Travel_Rarely"/>
    <x v="2"/>
    <s v="Current Employees"/>
    <x v="1"/>
    <x v="2"/>
    <s v="STAFF-1083"/>
    <x v="781"/>
    <x v="1"/>
    <x v="2"/>
    <x v="1"/>
    <s v="No"/>
    <s v="Y"/>
    <n v="2"/>
    <n v="-2"/>
    <n v="0"/>
    <x v="25"/>
    <n v="0"/>
    <m/>
    <n v="0"/>
    <n v="1"/>
    <n v="192"/>
    <n v="1"/>
    <x v="0"/>
    <n v="1"/>
    <n v="1"/>
    <n v="59"/>
    <n v="2"/>
    <n v="1"/>
    <n v="3"/>
    <n v="3955"/>
    <n v="11141"/>
    <n v="1"/>
    <n v="16"/>
    <n v="3"/>
    <n v="1"/>
    <n v="80"/>
    <n v="2"/>
    <n v="6"/>
    <n v="3"/>
    <n v="5"/>
    <n v="3"/>
    <n v="1"/>
    <n v="3"/>
  </r>
  <r>
    <s v="No"/>
    <s v="Travel_Rarely"/>
    <x v="2"/>
    <s v="Current Employees"/>
    <x v="1"/>
    <x v="1"/>
    <s v="STAFF-1084"/>
    <x v="782"/>
    <x v="1"/>
    <x v="3"/>
    <x v="1"/>
    <s v="No"/>
    <s v="Y"/>
    <n v="1"/>
    <n v="-2"/>
    <n v="0"/>
    <x v="7"/>
    <n v="0"/>
    <m/>
    <n v="0"/>
    <n v="1"/>
    <n v="1176"/>
    <n v="20"/>
    <x v="3"/>
    <n v="1"/>
    <n v="3"/>
    <n v="85"/>
    <n v="3"/>
    <n v="2"/>
    <n v="3"/>
    <n v="9957"/>
    <n v="9096"/>
    <n v="0"/>
    <n v="15"/>
    <n v="3"/>
    <n v="3"/>
    <n v="80"/>
    <n v="1"/>
    <n v="7"/>
    <n v="2"/>
    <n v="6"/>
    <n v="2"/>
    <n v="0"/>
    <n v="2"/>
  </r>
  <r>
    <s v="No"/>
    <s v="Travel_Rarely"/>
    <x v="0"/>
    <s v="Current Employees"/>
    <x v="1"/>
    <x v="4"/>
    <s v="STAFF-1085"/>
    <x v="783"/>
    <x v="0"/>
    <x v="1"/>
    <x v="1"/>
    <s v="No"/>
    <s v="Y"/>
    <n v="3"/>
    <n v="-2"/>
    <n v="0"/>
    <x v="0"/>
    <n v="0"/>
    <m/>
    <n v="0"/>
    <n v="1"/>
    <n v="509"/>
    <n v="7"/>
    <x v="0"/>
    <n v="1"/>
    <n v="4"/>
    <n v="43"/>
    <n v="4"/>
    <n v="1"/>
    <n v="4"/>
    <n v="3376"/>
    <n v="18863"/>
    <n v="1"/>
    <n v="13"/>
    <n v="3"/>
    <n v="3"/>
    <n v="80"/>
    <n v="0"/>
    <n v="10"/>
    <n v="3"/>
    <n v="10"/>
    <n v="6"/>
    <n v="0"/>
    <n v="8"/>
  </r>
  <r>
    <s v="No"/>
    <s v="Travel_Rarely"/>
    <x v="0"/>
    <s v="Current Employees"/>
    <x v="1"/>
    <x v="0"/>
    <s v="STAFF-1088"/>
    <x v="784"/>
    <x v="0"/>
    <x v="4"/>
    <x v="1"/>
    <s v="No"/>
    <s v="Y"/>
    <n v="4"/>
    <n v="-2"/>
    <n v="0"/>
    <x v="8"/>
    <n v="0"/>
    <m/>
    <n v="0"/>
    <n v="1"/>
    <n v="330"/>
    <n v="17"/>
    <x v="1"/>
    <n v="1"/>
    <n v="3"/>
    <n v="65"/>
    <n v="2"/>
    <n v="3"/>
    <n v="1"/>
    <n v="8823"/>
    <n v="24608"/>
    <n v="0"/>
    <n v="18"/>
    <n v="3"/>
    <n v="1"/>
    <n v="80"/>
    <n v="1"/>
    <n v="20"/>
    <n v="2"/>
    <n v="19"/>
    <n v="9"/>
    <n v="1"/>
    <n v="9"/>
  </r>
  <r>
    <s v="No"/>
    <s v="Travel_Rarely"/>
    <x v="0"/>
    <s v="Current Employees"/>
    <x v="1"/>
    <x v="4"/>
    <s v="STAFF-1092"/>
    <x v="785"/>
    <x v="1"/>
    <x v="4"/>
    <x v="1"/>
    <s v="No"/>
    <s v="Y"/>
    <n v="6"/>
    <n v="-2"/>
    <n v="0"/>
    <x v="32"/>
    <n v="0"/>
    <m/>
    <n v="0"/>
    <n v="1"/>
    <n v="1492"/>
    <n v="20"/>
    <x v="2"/>
    <n v="1"/>
    <n v="4"/>
    <n v="61"/>
    <n v="3"/>
    <n v="3"/>
    <n v="4"/>
    <n v="10322"/>
    <n v="26542"/>
    <n v="4"/>
    <n v="20"/>
    <n v="4"/>
    <n v="4"/>
    <n v="80"/>
    <n v="1"/>
    <n v="14"/>
    <n v="3"/>
    <n v="11"/>
    <n v="10"/>
    <n v="11"/>
    <n v="1"/>
  </r>
  <r>
    <s v="No"/>
    <s v="Non-Travel"/>
    <x v="2"/>
    <s v="Current Employees"/>
    <x v="1"/>
    <x v="0"/>
    <s v="STAFF-1094"/>
    <x v="786"/>
    <x v="1"/>
    <x v="2"/>
    <x v="1"/>
    <s v="No"/>
    <s v="Y"/>
    <n v="4"/>
    <n v="-2"/>
    <n v="0"/>
    <x v="4"/>
    <n v="0"/>
    <m/>
    <n v="0"/>
    <n v="1"/>
    <n v="1277"/>
    <n v="8"/>
    <x v="4"/>
    <n v="1"/>
    <n v="1"/>
    <n v="87"/>
    <n v="1"/>
    <n v="1"/>
    <n v="1"/>
    <n v="4621"/>
    <n v="5869"/>
    <n v="1"/>
    <n v="19"/>
    <n v="3"/>
    <n v="4"/>
    <n v="80"/>
    <n v="3"/>
    <n v="3"/>
    <n v="3"/>
    <n v="3"/>
    <n v="2"/>
    <n v="1"/>
    <n v="2"/>
  </r>
  <r>
    <s v="No"/>
    <s v="Travel_Frequently"/>
    <x v="3"/>
    <s v="Current Employees"/>
    <x v="1"/>
    <x v="0"/>
    <s v="STAFF-1096"/>
    <x v="787"/>
    <x v="1"/>
    <x v="3"/>
    <x v="1"/>
    <s v="No"/>
    <s v="Y"/>
    <n v="4"/>
    <n v="-2"/>
    <n v="0"/>
    <x v="27"/>
    <n v="0"/>
    <m/>
    <n v="0"/>
    <n v="1"/>
    <n v="1091"/>
    <n v="2"/>
    <x v="1"/>
    <n v="1"/>
    <n v="4"/>
    <n v="65"/>
    <n v="3"/>
    <n v="3"/>
    <n v="1"/>
    <n v="10976"/>
    <n v="15813"/>
    <n v="3"/>
    <n v="18"/>
    <n v="3"/>
    <n v="2"/>
    <n v="80"/>
    <n v="1"/>
    <n v="23"/>
    <n v="3"/>
    <n v="3"/>
    <n v="2"/>
    <n v="1"/>
    <n v="2"/>
  </r>
  <r>
    <s v="No"/>
    <s v="Travel_Rarely"/>
    <x v="2"/>
    <s v="Current Employees"/>
    <x v="1"/>
    <x v="1"/>
    <s v="STAFF-1097"/>
    <x v="788"/>
    <x v="0"/>
    <x v="1"/>
    <x v="0"/>
    <s v="No"/>
    <s v="Y"/>
    <n v="4"/>
    <n v="-2"/>
    <n v="0"/>
    <x v="14"/>
    <n v="0"/>
    <m/>
    <n v="0"/>
    <n v="1"/>
    <n v="857"/>
    <n v="10"/>
    <x v="3"/>
    <n v="1"/>
    <n v="3"/>
    <n v="59"/>
    <n v="3"/>
    <n v="2"/>
    <n v="3"/>
    <n v="3660"/>
    <n v="7909"/>
    <n v="3"/>
    <n v="13"/>
    <n v="3"/>
    <n v="4"/>
    <n v="80"/>
    <n v="0"/>
    <n v="10"/>
    <n v="4"/>
    <n v="8"/>
    <n v="7"/>
    <n v="1"/>
    <n v="7"/>
  </r>
  <r>
    <s v="Yes"/>
    <s v="Travel_Rarely"/>
    <x v="0"/>
    <s v="Ex-Employees"/>
    <x v="2"/>
    <x v="2"/>
    <s v="STAFF-1098"/>
    <x v="789"/>
    <x v="1"/>
    <x v="8"/>
    <x v="1"/>
    <s v="No"/>
    <s v="Y"/>
    <n v="1"/>
    <n v="-2"/>
    <n v="0"/>
    <x v="20"/>
    <n v="1"/>
    <n v="1"/>
    <n v="1"/>
    <n v="0"/>
    <n v="1376"/>
    <n v="1"/>
    <x v="0"/>
    <n v="1"/>
    <n v="2"/>
    <n v="91"/>
    <n v="2"/>
    <n v="3"/>
    <n v="3"/>
    <n v="10482"/>
    <n v="2326"/>
    <n v="9"/>
    <n v="14"/>
    <n v="3"/>
    <n v="4"/>
    <n v="80"/>
    <n v="1"/>
    <n v="24"/>
    <n v="3"/>
    <n v="20"/>
    <n v="6"/>
    <n v="3"/>
    <n v="6"/>
  </r>
  <r>
    <s v="No"/>
    <s v="Travel_Rarely"/>
    <x v="2"/>
    <s v="Current Employees"/>
    <x v="1"/>
    <x v="0"/>
    <s v="STAFF-1099"/>
    <x v="790"/>
    <x v="1"/>
    <x v="4"/>
    <x v="2"/>
    <s v="No"/>
    <s v="Y"/>
    <n v="2"/>
    <n v="-2"/>
    <n v="0"/>
    <x v="3"/>
    <n v="0"/>
    <m/>
    <n v="0"/>
    <n v="1"/>
    <n v="654"/>
    <n v="5"/>
    <x v="3"/>
    <n v="1"/>
    <n v="4"/>
    <n v="34"/>
    <n v="2"/>
    <n v="3"/>
    <n v="1"/>
    <n v="7119"/>
    <n v="21214"/>
    <n v="4"/>
    <n v="15"/>
    <n v="3"/>
    <n v="3"/>
    <n v="80"/>
    <n v="1"/>
    <n v="9"/>
    <n v="3"/>
    <n v="3"/>
    <n v="2"/>
    <n v="1"/>
    <n v="2"/>
  </r>
  <r>
    <s v="Yes"/>
    <s v="Travel_Rarely"/>
    <x v="0"/>
    <s v="Ex-Employees"/>
    <x v="0"/>
    <x v="4"/>
    <s v="STAFF-1100"/>
    <x v="791"/>
    <x v="1"/>
    <x v="0"/>
    <x v="0"/>
    <s v="Yes"/>
    <s v="Y"/>
    <n v="2"/>
    <n v="-2"/>
    <n v="0"/>
    <x v="10"/>
    <n v="1"/>
    <n v="1"/>
    <n v="1"/>
    <n v="0"/>
    <n v="1204"/>
    <n v="4"/>
    <x v="3"/>
    <n v="1"/>
    <n v="4"/>
    <n v="86"/>
    <n v="3"/>
    <n v="3"/>
    <n v="4"/>
    <n v="9582"/>
    <n v="10333"/>
    <n v="0"/>
    <n v="22"/>
    <n v="4"/>
    <n v="1"/>
    <n v="80"/>
    <n v="0"/>
    <n v="9"/>
    <n v="3"/>
    <n v="8"/>
    <n v="7"/>
    <n v="4"/>
    <n v="7"/>
  </r>
  <r>
    <s v="Yes"/>
    <s v="Travel_Frequently"/>
    <x v="2"/>
    <s v="Ex-Employees"/>
    <x v="1"/>
    <x v="2"/>
    <s v="STAFF-1101"/>
    <x v="792"/>
    <x v="0"/>
    <x v="1"/>
    <x v="0"/>
    <s v="No"/>
    <s v="Y"/>
    <n v="4"/>
    <n v="-2"/>
    <n v="0"/>
    <x v="3"/>
    <n v="1"/>
    <n v="1"/>
    <n v="1"/>
    <n v="0"/>
    <n v="827"/>
    <n v="29"/>
    <x v="2"/>
    <n v="1"/>
    <n v="1"/>
    <n v="54"/>
    <n v="2"/>
    <n v="2"/>
    <n v="3"/>
    <n v="4508"/>
    <n v="3129"/>
    <n v="1"/>
    <n v="22"/>
    <n v="4"/>
    <n v="2"/>
    <n v="80"/>
    <n v="0"/>
    <n v="14"/>
    <n v="3"/>
    <n v="13"/>
    <n v="7"/>
    <n v="3"/>
    <n v="8"/>
  </r>
  <r>
    <s v="No"/>
    <s v="Travel_Rarely"/>
    <x v="2"/>
    <s v="Current Employees"/>
    <x v="1"/>
    <x v="0"/>
    <s v="STAFF-1102"/>
    <x v="793"/>
    <x v="1"/>
    <x v="2"/>
    <x v="2"/>
    <s v="No"/>
    <s v="Y"/>
    <n v="5"/>
    <n v="-2"/>
    <n v="0"/>
    <x v="14"/>
    <n v="0"/>
    <m/>
    <n v="0"/>
    <n v="1"/>
    <n v="895"/>
    <n v="15"/>
    <x v="0"/>
    <n v="1"/>
    <n v="1"/>
    <n v="50"/>
    <n v="3"/>
    <n v="1"/>
    <n v="1"/>
    <n v="2207"/>
    <n v="22482"/>
    <n v="1"/>
    <n v="16"/>
    <n v="3"/>
    <n v="4"/>
    <n v="80"/>
    <n v="1"/>
    <n v="4"/>
    <n v="2"/>
    <n v="4"/>
    <n v="2"/>
    <n v="2"/>
    <n v="2"/>
  </r>
  <r>
    <s v="No"/>
    <s v="Travel_Frequently"/>
    <x v="2"/>
    <s v="Current Employees"/>
    <x v="1"/>
    <x v="0"/>
    <s v="STAFF-1103"/>
    <x v="794"/>
    <x v="1"/>
    <x v="4"/>
    <x v="0"/>
    <s v="No"/>
    <s v="Y"/>
    <n v="1"/>
    <n v="-2"/>
    <n v="0"/>
    <x v="13"/>
    <n v="0"/>
    <m/>
    <n v="0"/>
    <n v="1"/>
    <n v="618"/>
    <n v="3"/>
    <x v="1"/>
    <n v="1"/>
    <n v="1"/>
    <n v="45"/>
    <n v="3"/>
    <n v="2"/>
    <n v="1"/>
    <n v="7756"/>
    <n v="22266"/>
    <n v="0"/>
    <n v="17"/>
    <n v="3"/>
    <n v="3"/>
    <n v="80"/>
    <n v="0"/>
    <n v="7"/>
    <n v="2"/>
    <n v="6"/>
    <n v="2"/>
    <n v="0"/>
    <n v="4"/>
  </r>
  <r>
    <s v="No"/>
    <s v="Travel_Rarely"/>
    <x v="0"/>
    <s v="Current Employees"/>
    <x v="0"/>
    <x v="0"/>
    <s v="STAFF-1105"/>
    <x v="795"/>
    <x v="0"/>
    <x v="0"/>
    <x v="2"/>
    <s v="Yes"/>
    <s v="Y"/>
    <n v="5"/>
    <n v="-2"/>
    <n v="0"/>
    <x v="2"/>
    <n v="0"/>
    <m/>
    <n v="0"/>
    <n v="1"/>
    <n v="309"/>
    <n v="10"/>
    <x v="2"/>
    <n v="1"/>
    <n v="4"/>
    <n v="88"/>
    <n v="2"/>
    <n v="2"/>
    <n v="1"/>
    <n v="6694"/>
    <n v="24223"/>
    <n v="2"/>
    <n v="14"/>
    <n v="3"/>
    <n v="3"/>
    <n v="80"/>
    <n v="3"/>
    <n v="8"/>
    <n v="3"/>
    <n v="1"/>
    <n v="0"/>
    <n v="0"/>
    <n v="0"/>
  </r>
  <r>
    <s v="Yes"/>
    <s v="Travel_Rarely"/>
    <x v="2"/>
    <s v="Ex-Employees"/>
    <x v="1"/>
    <x v="4"/>
    <s v="STAFF-1106"/>
    <x v="796"/>
    <x v="1"/>
    <x v="2"/>
    <x v="1"/>
    <s v="Yes"/>
    <s v="Y"/>
    <n v="3"/>
    <n v="-2"/>
    <n v="0"/>
    <x v="36"/>
    <n v="1"/>
    <n v="1"/>
    <n v="1"/>
    <n v="0"/>
    <n v="1219"/>
    <n v="4"/>
    <x v="1"/>
    <n v="1"/>
    <n v="4"/>
    <n v="32"/>
    <n v="3"/>
    <n v="1"/>
    <n v="4"/>
    <n v="3691"/>
    <n v="4605"/>
    <n v="1"/>
    <n v="15"/>
    <n v="3"/>
    <n v="2"/>
    <n v="80"/>
    <n v="1"/>
    <n v="7"/>
    <n v="4"/>
    <n v="7"/>
    <n v="7"/>
    <n v="5"/>
    <n v="6"/>
  </r>
  <r>
    <s v="Yes"/>
    <s v="Travel_Rarely"/>
    <x v="2"/>
    <s v="Ex-Employees"/>
    <x v="1"/>
    <x v="2"/>
    <s v="STAFF-1107"/>
    <x v="797"/>
    <x v="1"/>
    <x v="2"/>
    <x v="2"/>
    <s v="No"/>
    <s v="Y"/>
    <n v="0"/>
    <n v="-2"/>
    <n v="0"/>
    <x v="25"/>
    <n v="1"/>
    <n v="1"/>
    <n v="1"/>
    <n v="0"/>
    <n v="1330"/>
    <n v="21"/>
    <x v="3"/>
    <n v="1"/>
    <n v="1"/>
    <n v="37"/>
    <n v="3"/>
    <n v="1"/>
    <n v="3"/>
    <n v="2377"/>
    <n v="19373"/>
    <n v="1"/>
    <n v="20"/>
    <n v="4"/>
    <n v="3"/>
    <n v="80"/>
    <n v="1"/>
    <n v="1"/>
    <n v="2"/>
    <n v="1"/>
    <n v="1"/>
    <n v="0"/>
    <n v="0"/>
  </r>
  <r>
    <s v="Yes"/>
    <s v="Travel_Rarely"/>
    <x v="2"/>
    <s v="Ex-Employees"/>
    <x v="1"/>
    <x v="2"/>
    <s v="STAFF-1108"/>
    <x v="798"/>
    <x v="1"/>
    <x v="1"/>
    <x v="0"/>
    <s v="Yes"/>
    <s v="Y"/>
    <n v="0"/>
    <n v="-2"/>
    <n v="0"/>
    <x v="3"/>
    <n v="1"/>
    <n v="1"/>
    <n v="1"/>
    <n v="0"/>
    <n v="1017"/>
    <n v="25"/>
    <x v="3"/>
    <n v="1"/>
    <n v="1"/>
    <n v="55"/>
    <n v="2"/>
    <n v="1"/>
    <n v="3"/>
    <n v="2313"/>
    <n v="2993"/>
    <n v="4"/>
    <n v="20"/>
    <n v="4"/>
    <n v="2"/>
    <n v="80"/>
    <n v="0"/>
    <n v="5"/>
    <n v="3"/>
    <n v="2"/>
    <n v="2"/>
    <n v="2"/>
    <n v="2"/>
  </r>
  <r>
    <s v="No"/>
    <s v="Travel_Rarely"/>
    <x v="0"/>
    <s v="Current Employees"/>
    <x v="1"/>
    <x v="2"/>
    <s v="STAFF-1109"/>
    <x v="799"/>
    <x v="1"/>
    <x v="5"/>
    <x v="1"/>
    <s v="No"/>
    <s v="Y"/>
    <n v="3"/>
    <n v="-2"/>
    <n v="0"/>
    <x v="19"/>
    <n v="0"/>
    <m/>
    <n v="0"/>
    <n v="1"/>
    <n v="469"/>
    <n v="2"/>
    <x v="0"/>
    <n v="1"/>
    <n v="4"/>
    <n v="35"/>
    <n v="3"/>
    <n v="4"/>
    <n v="3"/>
    <n v="17665"/>
    <n v="14399"/>
    <n v="0"/>
    <n v="17"/>
    <n v="3"/>
    <n v="4"/>
    <n v="80"/>
    <n v="1"/>
    <n v="23"/>
    <n v="3"/>
    <n v="22"/>
    <n v="6"/>
    <n v="13"/>
    <n v="7"/>
  </r>
  <r>
    <s v="Yes"/>
    <s v="Travel_Frequently"/>
    <x v="2"/>
    <s v="Ex-Employees"/>
    <x v="1"/>
    <x v="2"/>
    <s v="STAFF-1111"/>
    <x v="800"/>
    <x v="1"/>
    <x v="2"/>
    <x v="2"/>
    <s v="No"/>
    <s v="Y"/>
    <n v="2"/>
    <n v="-2"/>
    <n v="0"/>
    <x v="14"/>
    <n v="1"/>
    <n v="1"/>
    <n v="1"/>
    <n v="0"/>
    <n v="1009"/>
    <n v="1"/>
    <x v="3"/>
    <n v="1"/>
    <n v="1"/>
    <n v="45"/>
    <n v="2"/>
    <n v="1"/>
    <n v="3"/>
    <n v="2596"/>
    <n v="7160"/>
    <n v="1"/>
    <n v="15"/>
    <n v="3"/>
    <n v="1"/>
    <n v="80"/>
    <n v="2"/>
    <n v="1"/>
    <n v="3"/>
    <n v="1"/>
    <n v="0"/>
    <n v="0"/>
    <n v="0"/>
  </r>
  <r>
    <s v="Yes"/>
    <s v="Travel_Frequently"/>
    <x v="1"/>
    <s v="Ex-Employees"/>
    <x v="0"/>
    <x v="1"/>
    <s v="STAFF-1113"/>
    <x v="801"/>
    <x v="1"/>
    <x v="0"/>
    <x v="0"/>
    <s v="Yes"/>
    <s v="Y"/>
    <n v="4"/>
    <n v="-2"/>
    <n v="0"/>
    <x v="24"/>
    <n v="1"/>
    <n v="1"/>
    <n v="1"/>
    <n v="0"/>
    <n v="959"/>
    <n v="1"/>
    <x v="2"/>
    <n v="1"/>
    <n v="4"/>
    <n v="81"/>
    <n v="3"/>
    <n v="2"/>
    <n v="3"/>
    <n v="4728"/>
    <n v="17251"/>
    <n v="3"/>
    <n v="14"/>
    <n v="3"/>
    <n v="4"/>
    <n v="80"/>
    <n v="0"/>
    <n v="5"/>
    <n v="3"/>
    <n v="0"/>
    <n v="0"/>
    <n v="0"/>
    <n v="0"/>
  </r>
  <r>
    <s v="No"/>
    <s v="Travel_Frequently"/>
    <x v="2"/>
    <s v="Current Employees"/>
    <x v="0"/>
    <x v="0"/>
    <s v="STAFF-1114"/>
    <x v="802"/>
    <x v="0"/>
    <x v="0"/>
    <x v="1"/>
    <s v="No"/>
    <s v="Y"/>
    <n v="3"/>
    <n v="-2"/>
    <n v="0"/>
    <x v="3"/>
    <n v="0"/>
    <m/>
    <n v="0"/>
    <n v="1"/>
    <n v="970"/>
    <n v="7"/>
    <x v="3"/>
    <n v="1"/>
    <n v="4"/>
    <n v="30"/>
    <n v="3"/>
    <n v="2"/>
    <n v="1"/>
    <n v="4302"/>
    <n v="13401"/>
    <n v="0"/>
    <n v="17"/>
    <n v="3"/>
    <n v="3"/>
    <n v="80"/>
    <n v="1"/>
    <n v="4"/>
    <n v="3"/>
    <n v="3"/>
    <n v="2"/>
    <n v="0"/>
    <n v="2"/>
  </r>
  <r>
    <s v="No"/>
    <s v="Non-Travel"/>
    <x v="2"/>
    <s v="Current Employees"/>
    <x v="1"/>
    <x v="0"/>
    <s v="STAFF-1115"/>
    <x v="803"/>
    <x v="1"/>
    <x v="1"/>
    <x v="1"/>
    <s v="No"/>
    <s v="Y"/>
    <n v="2"/>
    <n v="-2"/>
    <n v="0"/>
    <x v="13"/>
    <n v="0"/>
    <m/>
    <n v="0"/>
    <n v="1"/>
    <n v="697"/>
    <n v="3"/>
    <x v="2"/>
    <n v="1"/>
    <n v="3"/>
    <n v="40"/>
    <n v="2"/>
    <n v="1"/>
    <n v="1"/>
    <n v="2979"/>
    <n v="22478"/>
    <n v="3"/>
    <n v="17"/>
    <n v="3"/>
    <n v="4"/>
    <n v="80"/>
    <n v="3"/>
    <n v="6"/>
    <n v="3"/>
    <n v="0"/>
    <n v="0"/>
    <n v="0"/>
    <n v="0"/>
  </r>
  <r>
    <s v="No"/>
    <s v="Non-Travel"/>
    <x v="1"/>
    <s v="Current Employees"/>
    <x v="1"/>
    <x v="2"/>
    <s v="STAFF-1116"/>
    <x v="804"/>
    <x v="1"/>
    <x v="5"/>
    <x v="0"/>
    <s v="No"/>
    <s v="Y"/>
    <n v="3"/>
    <n v="-2"/>
    <n v="0"/>
    <x v="26"/>
    <n v="0"/>
    <m/>
    <n v="0"/>
    <n v="1"/>
    <n v="1262"/>
    <n v="1"/>
    <x v="2"/>
    <n v="1"/>
    <n v="1"/>
    <n v="35"/>
    <n v="4"/>
    <n v="4"/>
    <n v="4"/>
    <n v="16885"/>
    <n v="16154"/>
    <n v="2"/>
    <n v="22"/>
    <n v="4"/>
    <n v="3"/>
    <n v="80"/>
    <n v="0"/>
    <n v="27"/>
    <n v="2"/>
    <n v="5"/>
    <n v="4"/>
    <n v="2"/>
    <n v="1"/>
  </r>
  <r>
    <s v="No"/>
    <s v="Non-Travel"/>
    <x v="1"/>
    <s v="Current Employees"/>
    <x v="0"/>
    <x v="0"/>
    <s v="STAFF-1117"/>
    <x v="805"/>
    <x v="0"/>
    <x v="0"/>
    <x v="1"/>
    <s v="No"/>
    <s v="Y"/>
    <n v="2"/>
    <n v="-2"/>
    <n v="0"/>
    <x v="28"/>
    <n v="0"/>
    <m/>
    <n v="0"/>
    <n v="1"/>
    <n v="1050"/>
    <n v="9"/>
    <x v="2"/>
    <n v="1"/>
    <n v="2"/>
    <n v="65"/>
    <n v="2"/>
    <n v="2"/>
    <n v="1"/>
    <n v="5593"/>
    <n v="17970"/>
    <n v="1"/>
    <n v="13"/>
    <n v="3"/>
    <n v="4"/>
    <n v="80"/>
    <n v="1"/>
    <n v="15"/>
    <n v="3"/>
    <n v="15"/>
    <n v="10"/>
    <n v="4"/>
    <n v="12"/>
  </r>
  <r>
    <s v="No"/>
    <s v="Travel_Rarely"/>
    <x v="1"/>
    <s v="Current Employees"/>
    <x v="1"/>
    <x v="0"/>
    <s v="STAFF-1118"/>
    <x v="806"/>
    <x v="1"/>
    <x v="4"/>
    <x v="0"/>
    <s v="No"/>
    <s v="Y"/>
    <n v="4"/>
    <n v="-2"/>
    <n v="0"/>
    <x v="39"/>
    <n v="0"/>
    <m/>
    <n v="0"/>
    <n v="1"/>
    <n v="994"/>
    <n v="7"/>
    <x v="2"/>
    <n v="1"/>
    <n v="2"/>
    <n v="87"/>
    <n v="3"/>
    <n v="3"/>
    <n v="1"/>
    <n v="10445"/>
    <n v="15322"/>
    <n v="7"/>
    <n v="19"/>
    <n v="3"/>
    <n v="4"/>
    <n v="80"/>
    <n v="0"/>
    <n v="18"/>
    <n v="3"/>
    <n v="8"/>
    <n v="6"/>
    <n v="4"/>
    <n v="0"/>
  </r>
  <r>
    <s v="No"/>
    <s v="Travel_Rarely"/>
    <x v="0"/>
    <s v="Current Employees"/>
    <x v="0"/>
    <x v="3"/>
    <s v="STAFF-1119"/>
    <x v="807"/>
    <x v="1"/>
    <x v="0"/>
    <x v="2"/>
    <s v="Yes"/>
    <s v="Y"/>
    <n v="2"/>
    <n v="-2"/>
    <n v="0"/>
    <x v="8"/>
    <n v="0"/>
    <m/>
    <n v="0"/>
    <n v="1"/>
    <n v="770"/>
    <n v="10"/>
    <x v="2"/>
    <n v="1"/>
    <n v="3"/>
    <n v="73"/>
    <n v="2"/>
    <n v="3"/>
    <n v="2"/>
    <n v="8740"/>
    <n v="5569"/>
    <n v="0"/>
    <n v="14"/>
    <n v="3"/>
    <n v="2"/>
    <n v="80"/>
    <n v="2"/>
    <n v="9"/>
    <n v="3"/>
    <n v="8"/>
    <n v="7"/>
    <n v="2"/>
    <n v="7"/>
  </r>
  <r>
    <s v="No"/>
    <s v="Travel_Rarely"/>
    <x v="2"/>
    <s v="Current Employees"/>
    <x v="1"/>
    <x v="0"/>
    <s v="STAFF-1120"/>
    <x v="808"/>
    <x v="0"/>
    <x v="1"/>
    <x v="2"/>
    <s v="No"/>
    <s v="Y"/>
    <n v="1"/>
    <n v="-2"/>
    <n v="0"/>
    <x v="11"/>
    <n v="0"/>
    <m/>
    <n v="0"/>
    <n v="1"/>
    <n v="1107"/>
    <n v="28"/>
    <x v="2"/>
    <n v="1"/>
    <n v="3"/>
    <n v="93"/>
    <n v="3"/>
    <n v="1"/>
    <n v="1"/>
    <n v="2514"/>
    <n v="26968"/>
    <n v="4"/>
    <n v="22"/>
    <n v="4"/>
    <n v="1"/>
    <n v="80"/>
    <n v="1"/>
    <n v="11"/>
    <n v="3"/>
    <n v="7"/>
    <n v="5"/>
    <n v="1"/>
    <n v="7"/>
  </r>
  <r>
    <s v="No"/>
    <s v="Travel_Rarely"/>
    <x v="2"/>
    <s v="Current Employees"/>
    <x v="1"/>
    <x v="2"/>
    <s v="STAFF-1121"/>
    <x v="809"/>
    <x v="0"/>
    <x v="3"/>
    <x v="2"/>
    <s v="No"/>
    <s v="Y"/>
    <n v="3"/>
    <n v="-2"/>
    <n v="0"/>
    <x v="14"/>
    <n v="0"/>
    <m/>
    <n v="0"/>
    <n v="1"/>
    <n v="950"/>
    <n v="3"/>
    <x v="3"/>
    <n v="1"/>
    <n v="4"/>
    <n v="93"/>
    <n v="3"/>
    <n v="3"/>
    <n v="3"/>
    <n v="7655"/>
    <n v="8039"/>
    <n v="0"/>
    <n v="17"/>
    <n v="3"/>
    <n v="2"/>
    <n v="80"/>
    <n v="3"/>
    <n v="10"/>
    <n v="2"/>
    <n v="9"/>
    <n v="7"/>
    <n v="1"/>
    <n v="7"/>
  </r>
  <r>
    <s v="No"/>
    <s v="Travel_Rarely"/>
    <x v="1"/>
    <s v="Current Employees"/>
    <x v="0"/>
    <x v="3"/>
    <s v="STAFF-1124"/>
    <x v="810"/>
    <x v="1"/>
    <x v="5"/>
    <x v="1"/>
    <s v="No"/>
    <s v="Y"/>
    <n v="3"/>
    <n v="-2"/>
    <n v="0"/>
    <x v="21"/>
    <n v="0"/>
    <m/>
    <n v="0"/>
    <n v="1"/>
    <n v="406"/>
    <n v="3"/>
    <x v="1"/>
    <n v="1"/>
    <n v="1"/>
    <n v="52"/>
    <n v="3"/>
    <n v="4"/>
    <n v="2"/>
    <n v="17465"/>
    <n v="15596"/>
    <n v="3"/>
    <n v="12"/>
    <n v="3"/>
    <n v="4"/>
    <n v="80"/>
    <n v="1"/>
    <n v="23"/>
    <n v="3"/>
    <n v="12"/>
    <n v="9"/>
    <n v="4"/>
    <n v="9"/>
  </r>
  <r>
    <s v="No"/>
    <s v="Travel_Rarely"/>
    <x v="0"/>
    <s v="Current Employees"/>
    <x v="0"/>
    <x v="3"/>
    <s v="STAFF-1125"/>
    <x v="811"/>
    <x v="1"/>
    <x v="0"/>
    <x v="0"/>
    <s v="No"/>
    <s v="Y"/>
    <n v="2"/>
    <n v="-2"/>
    <n v="0"/>
    <x v="8"/>
    <n v="0"/>
    <m/>
    <n v="0"/>
    <n v="1"/>
    <n v="130"/>
    <n v="2"/>
    <x v="0"/>
    <n v="1"/>
    <n v="4"/>
    <n v="32"/>
    <n v="3"/>
    <n v="3"/>
    <n v="2"/>
    <n v="7351"/>
    <n v="20619"/>
    <n v="7"/>
    <n v="16"/>
    <n v="3"/>
    <n v="3"/>
    <n v="80"/>
    <n v="0"/>
    <n v="10"/>
    <n v="3"/>
    <n v="1"/>
    <n v="0"/>
    <n v="0"/>
    <n v="0"/>
  </r>
  <r>
    <s v="No"/>
    <s v="Travel_Frequently"/>
    <x v="0"/>
    <s v="Current Employees"/>
    <x v="1"/>
    <x v="0"/>
    <s v="STAFF-1126"/>
    <x v="812"/>
    <x v="0"/>
    <x v="3"/>
    <x v="1"/>
    <s v="No"/>
    <s v="Y"/>
    <n v="1"/>
    <n v="-2"/>
    <n v="0"/>
    <x v="23"/>
    <n v="0"/>
    <m/>
    <n v="0"/>
    <n v="1"/>
    <n v="1082"/>
    <n v="27"/>
    <x v="3"/>
    <n v="1"/>
    <n v="3"/>
    <n v="83"/>
    <n v="3"/>
    <n v="3"/>
    <n v="1"/>
    <n v="10820"/>
    <n v="11535"/>
    <n v="8"/>
    <n v="11"/>
    <n v="3"/>
    <n v="3"/>
    <n v="80"/>
    <n v="1"/>
    <n v="18"/>
    <n v="3"/>
    <n v="8"/>
    <n v="7"/>
    <n v="0"/>
    <n v="1"/>
  </r>
  <r>
    <s v="Yes"/>
    <s v="Travel_Frequently"/>
    <x v="0"/>
    <s v="Ex-Employees"/>
    <x v="1"/>
    <x v="0"/>
    <s v="STAFF-1127"/>
    <x v="813"/>
    <x v="1"/>
    <x v="4"/>
    <x v="2"/>
    <s v="No"/>
    <s v="Y"/>
    <n v="4"/>
    <n v="-2"/>
    <n v="0"/>
    <x v="22"/>
    <n v="1"/>
    <n v="1"/>
    <n v="1"/>
    <n v="0"/>
    <n v="203"/>
    <n v="2"/>
    <x v="3"/>
    <n v="1"/>
    <n v="1"/>
    <n v="84"/>
    <n v="3"/>
    <n v="4"/>
    <n v="1"/>
    <n v="12169"/>
    <n v="13547"/>
    <n v="7"/>
    <n v="11"/>
    <n v="3"/>
    <n v="4"/>
    <n v="80"/>
    <n v="3"/>
    <n v="21"/>
    <n v="3"/>
    <n v="18"/>
    <n v="7"/>
    <n v="11"/>
    <n v="5"/>
  </r>
  <r>
    <s v="No"/>
    <s v="Travel_Rarely"/>
    <x v="0"/>
    <s v="Current Employees"/>
    <x v="1"/>
    <x v="2"/>
    <s v="STAFF-1128"/>
    <x v="814"/>
    <x v="1"/>
    <x v="7"/>
    <x v="0"/>
    <s v="No"/>
    <s v="Y"/>
    <n v="2"/>
    <n v="-2"/>
    <n v="0"/>
    <x v="32"/>
    <n v="0"/>
    <m/>
    <n v="0"/>
    <n v="1"/>
    <n v="1308"/>
    <n v="14"/>
    <x v="3"/>
    <n v="1"/>
    <n v="3"/>
    <n v="44"/>
    <n v="2"/>
    <n v="5"/>
    <n v="3"/>
    <n v="19626"/>
    <n v="17544"/>
    <n v="1"/>
    <n v="14"/>
    <n v="3"/>
    <n v="1"/>
    <n v="80"/>
    <n v="0"/>
    <n v="21"/>
    <n v="4"/>
    <n v="20"/>
    <n v="7"/>
    <n v="4"/>
    <n v="9"/>
  </r>
  <r>
    <s v="No"/>
    <s v="Travel_Rarely"/>
    <x v="4"/>
    <s v="Current Employees"/>
    <x v="1"/>
    <x v="4"/>
    <s v="STAFF-1131"/>
    <x v="815"/>
    <x v="0"/>
    <x v="1"/>
    <x v="0"/>
    <s v="Yes"/>
    <s v="Y"/>
    <n v="6"/>
    <n v="-2"/>
    <n v="0"/>
    <x v="18"/>
    <n v="0"/>
    <m/>
    <n v="0"/>
    <n v="1"/>
    <n v="984"/>
    <n v="1"/>
    <x v="1"/>
    <n v="1"/>
    <n v="4"/>
    <n v="70"/>
    <n v="2"/>
    <n v="1"/>
    <n v="4"/>
    <n v="2070"/>
    <n v="25326"/>
    <n v="1"/>
    <n v="11"/>
    <n v="3"/>
    <n v="3"/>
    <n v="80"/>
    <n v="0"/>
    <n v="2"/>
    <n v="4"/>
    <n v="2"/>
    <n v="2"/>
    <n v="2"/>
    <n v="2"/>
  </r>
  <r>
    <s v="No"/>
    <s v="Non-Travel"/>
    <x v="0"/>
    <s v="Current Employees"/>
    <x v="1"/>
    <x v="0"/>
    <s v="STAFF-1132"/>
    <x v="816"/>
    <x v="1"/>
    <x v="2"/>
    <x v="0"/>
    <s v="No"/>
    <s v="Y"/>
    <n v="2"/>
    <n v="-2"/>
    <n v="0"/>
    <x v="22"/>
    <n v="0"/>
    <m/>
    <n v="0"/>
    <n v="1"/>
    <n v="439"/>
    <n v="9"/>
    <x v="3"/>
    <n v="1"/>
    <n v="3"/>
    <n v="70"/>
    <n v="3"/>
    <n v="2"/>
    <n v="1"/>
    <n v="6782"/>
    <n v="8770"/>
    <n v="9"/>
    <n v="15"/>
    <n v="3"/>
    <n v="3"/>
    <n v="80"/>
    <n v="0"/>
    <n v="9"/>
    <n v="2"/>
    <n v="5"/>
    <n v="4"/>
    <n v="0"/>
    <n v="3"/>
  </r>
  <r>
    <s v="No"/>
    <s v="Non-Travel"/>
    <x v="0"/>
    <s v="Current Employees"/>
    <x v="1"/>
    <x v="0"/>
    <s v="STAFF-1133"/>
    <x v="817"/>
    <x v="1"/>
    <x v="3"/>
    <x v="0"/>
    <s v="No"/>
    <s v="Y"/>
    <n v="0"/>
    <n v="-2"/>
    <n v="0"/>
    <x v="9"/>
    <n v="0"/>
    <m/>
    <n v="0"/>
    <n v="1"/>
    <n v="217"/>
    <n v="18"/>
    <x v="2"/>
    <n v="1"/>
    <n v="1"/>
    <n v="78"/>
    <n v="3"/>
    <n v="2"/>
    <n v="1"/>
    <n v="7779"/>
    <n v="23238"/>
    <n v="2"/>
    <n v="20"/>
    <n v="4"/>
    <n v="1"/>
    <n v="80"/>
    <n v="0"/>
    <n v="18"/>
    <n v="3"/>
    <n v="11"/>
    <n v="9"/>
    <n v="0"/>
    <n v="9"/>
  </r>
  <r>
    <s v="No"/>
    <s v="Travel_Frequently"/>
    <x v="2"/>
    <s v="Current Employees"/>
    <x v="0"/>
    <x v="0"/>
    <s v="STAFF-1135"/>
    <x v="818"/>
    <x v="1"/>
    <x v="6"/>
    <x v="1"/>
    <s v="No"/>
    <s v="Y"/>
    <n v="4"/>
    <n v="-2"/>
    <n v="0"/>
    <x v="12"/>
    <n v="0"/>
    <m/>
    <n v="0"/>
    <n v="1"/>
    <n v="793"/>
    <n v="20"/>
    <x v="3"/>
    <n v="1"/>
    <n v="3"/>
    <n v="67"/>
    <n v="4"/>
    <n v="1"/>
    <n v="1"/>
    <n v="2791"/>
    <n v="21981"/>
    <n v="0"/>
    <n v="12"/>
    <n v="3"/>
    <n v="1"/>
    <n v="80"/>
    <n v="1"/>
    <n v="3"/>
    <n v="3"/>
    <n v="2"/>
    <n v="2"/>
    <n v="2"/>
    <n v="2"/>
  </r>
  <r>
    <s v="No"/>
    <s v="Travel_Rarely"/>
    <x v="2"/>
    <s v="Current Employees"/>
    <x v="1"/>
    <x v="0"/>
    <s v="STAFF-1136"/>
    <x v="819"/>
    <x v="1"/>
    <x v="1"/>
    <x v="1"/>
    <s v="No"/>
    <s v="Y"/>
    <n v="2"/>
    <n v="-2"/>
    <n v="0"/>
    <x v="14"/>
    <n v="0"/>
    <m/>
    <n v="0"/>
    <n v="1"/>
    <n v="1451"/>
    <n v="2"/>
    <x v="1"/>
    <n v="1"/>
    <n v="1"/>
    <n v="67"/>
    <n v="2"/>
    <n v="1"/>
    <n v="1"/>
    <n v="3201"/>
    <n v="19911"/>
    <n v="0"/>
    <n v="17"/>
    <n v="3"/>
    <n v="1"/>
    <n v="80"/>
    <n v="0"/>
    <n v="6"/>
    <n v="1"/>
    <n v="5"/>
    <n v="3"/>
    <n v="0"/>
    <n v="4"/>
  </r>
  <r>
    <s v="No"/>
    <s v="Travel_Frequently"/>
    <x v="0"/>
    <s v="Current Employees"/>
    <x v="0"/>
    <x v="3"/>
    <s v="STAFF-1137"/>
    <x v="820"/>
    <x v="1"/>
    <x v="0"/>
    <x v="2"/>
    <s v="No"/>
    <s v="Y"/>
    <n v="3"/>
    <n v="-2"/>
    <n v="0"/>
    <x v="10"/>
    <n v="0"/>
    <m/>
    <n v="0"/>
    <n v="1"/>
    <n v="1182"/>
    <n v="11"/>
    <x v="0"/>
    <n v="1"/>
    <n v="4"/>
    <n v="54"/>
    <n v="3"/>
    <n v="2"/>
    <n v="2"/>
    <n v="4968"/>
    <n v="18500"/>
    <n v="1"/>
    <n v="11"/>
    <n v="3"/>
    <n v="4"/>
    <n v="80"/>
    <n v="1"/>
    <n v="5"/>
    <n v="3"/>
    <n v="5"/>
    <n v="2"/>
    <n v="0"/>
    <n v="2"/>
  </r>
  <r>
    <s v="No"/>
    <s v="Travel_Rarely"/>
    <x v="1"/>
    <s v="Current Employees"/>
    <x v="0"/>
    <x v="4"/>
    <s v="STAFF-1138"/>
    <x v="821"/>
    <x v="1"/>
    <x v="0"/>
    <x v="1"/>
    <s v="No"/>
    <s v="Y"/>
    <n v="3"/>
    <n v="-2"/>
    <n v="0"/>
    <x v="1"/>
    <n v="0"/>
    <m/>
    <n v="0"/>
    <n v="1"/>
    <n v="174"/>
    <n v="8"/>
    <x v="2"/>
    <n v="1"/>
    <n v="4"/>
    <n v="56"/>
    <n v="2"/>
    <n v="4"/>
    <n v="4"/>
    <n v="13120"/>
    <n v="11879"/>
    <n v="6"/>
    <n v="17"/>
    <n v="3"/>
    <n v="2"/>
    <n v="80"/>
    <n v="1"/>
    <n v="22"/>
    <n v="3"/>
    <n v="9"/>
    <n v="8"/>
    <n v="2"/>
    <n v="3"/>
  </r>
  <r>
    <s v="No"/>
    <s v="Travel_Frequently"/>
    <x v="2"/>
    <s v="Current Employees"/>
    <x v="1"/>
    <x v="0"/>
    <s v="STAFF-1140"/>
    <x v="822"/>
    <x v="1"/>
    <x v="3"/>
    <x v="0"/>
    <s v="No"/>
    <s v="Y"/>
    <n v="3"/>
    <n v="-2"/>
    <n v="0"/>
    <x v="13"/>
    <n v="0"/>
    <m/>
    <n v="0"/>
    <n v="1"/>
    <n v="1003"/>
    <n v="2"/>
    <x v="0"/>
    <n v="1"/>
    <n v="4"/>
    <n v="95"/>
    <n v="3"/>
    <n v="2"/>
    <n v="1"/>
    <n v="4033"/>
    <n v="15834"/>
    <n v="2"/>
    <n v="11"/>
    <n v="3"/>
    <n v="4"/>
    <n v="80"/>
    <n v="0"/>
    <n v="5"/>
    <n v="2"/>
    <n v="3"/>
    <n v="2"/>
    <n v="0"/>
    <n v="2"/>
  </r>
  <r>
    <s v="No"/>
    <s v="Travel_Frequently"/>
    <x v="2"/>
    <s v="Current Employees"/>
    <x v="1"/>
    <x v="0"/>
    <s v="STAFF-1143"/>
    <x v="823"/>
    <x v="0"/>
    <x v="1"/>
    <x v="2"/>
    <s v="No"/>
    <s v="Y"/>
    <n v="2"/>
    <n v="-2"/>
    <n v="0"/>
    <x v="11"/>
    <n v="0"/>
    <m/>
    <n v="0"/>
    <n v="1"/>
    <n v="490"/>
    <n v="10"/>
    <x v="3"/>
    <n v="1"/>
    <n v="4"/>
    <n v="61"/>
    <n v="3"/>
    <n v="1"/>
    <n v="1"/>
    <n v="3291"/>
    <n v="17940"/>
    <n v="0"/>
    <n v="14"/>
    <n v="3"/>
    <n v="4"/>
    <n v="80"/>
    <n v="2"/>
    <n v="8"/>
    <n v="2"/>
    <n v="7"/>
    <n v="5"/>
    <n v="1"/>
    <n v="1"/>
  </r>
  <r>
    <s v="No"/>
    <s v="Travel_Rarely"/>
    <x v="0"/>
    <s v="Current Employees"/>
    <x v="1"/>
    <x v="2"/>
    <s v="STAFF-1148"/>
    <x v="824"/>
    <x v="1"/>
    <x v="2"/>
    <x v="0"/>
    <s v="No"/>
    <s v="Y"/>
    <n v="3"/>
    <n v="-2"/>
    <n v="0"/>
    <x v="19"/>
    <n v="0"/>
    <m/>
    <n v="0"/>
    <n v="1"/>
    <n v="188"/>
    <n v="29"/>
    <x v="3"/>
    <n v="1"/>
    <n v="2"/>
    <n v="56"/>
    <n v="1"/>
    <n v="2"/>
    <n v="4"/>
    <n v="4272"/>
    <n v="9558"/>
    <n v="4"/>
    <n v="19"/>
    <n v="3"/>
    <n v="1"/>
    <n v="80"/>
    <n v="0"/>
    <n v="16"/>
    <n v="3"/>
    <n v="1"/>
    <n v="0"/>
    <n v="0"/>
    <n v="0"/>
  </r>
  <r>
    <s v="No"/>
    <s v="Travel_Rarely"/>
    <x v="2"/>
    <s v="Current Employees"/>
    <x v="1"/>
    <x v="2"/>
    <s v="STAFF-1150"/>
    <x v="825"/>
    <x v="1"/>
    <x v="3"/>
    <x v="1"/>
    <s v="Yes"/>
    <s v="Y"/>
    <n v="2"/>
    <n v="-2"/>
    <n v="0"/>
    <x v="11"/>
    <n v="0"/>
    <m/>
    <n v="0"/>
    <n v="1"/>
    <n v="718"/>
    <n v="8"/>
    <x v="1"/>
    <n v="1"/>
    <n v="2"/>
    <n v="79"/>
    <n v="2"/>
    <n v="2"/>
    <n v="4"/>
    <n v="5056"/>
    <n v="17689"/>
    <n v="1"/>
    <n v="15"/>
    <n v="3"/>
    <n v="3"/>
    <n v="80"/>
    <n v="1"/>
    <n v="10"/>
    <n v="2"/>
    <n v="10"/>
    <n v="7"/>
    <n v="1"/>
    <n v="2"/>
  </r>
  <r>
    <s v="No"/>
    <s v="Travel_Rarely"/>
    <x v="0"/>
    <s v="Current Employees"/>
    <x v="2"/>
    <x v="5"/>
    <s v="STAFF-1152"/>
    <x v="826"/>
    <x v="1"/>
    <x v="8"/>
    <x v="1"/>
    <s v="No"/>
    <s v="Y"/>
    <n v="2"/>
    <n v="-2"/>
    <n v="0"/>
    <x v="8"/>
    <n v="0"/>
    <m/>
    <n v="0"/>
    <n v="1"/>
    <n v="433"/>
    <n v="1"/>
    <x v="3"/>
    <n v="1"/>
    <n v="3"/>
    <n v="37"/>
    <n v="4"/>
    <n v="1"/>
    <n v="3"/>
    <n v="2844"/>
    <n v="6004"/>
    <n v="1"/>
    <n v="13"/>
    <n v="3"/>
    <n v="4"/>
    <n v="80"/>
    <n v="1"/>
    <n v="7"/>
    <n v="4"/>
    <n v="7"/>
    <n v="6"/>
    <n v="5"/>
    <n v="0"/>
  </r>
  <r>
    <s v="No"/>
    <s v="Travel_Frequently"/>
    <x v="2"/>
    <s v="Current Employees"/>
    <x v="1"/>
    <x v="0"/>
    <s v="STAFF-1154"/>
    <x v="827"/>
    <x v="1"/>
    <x v="1"/>
    <x v="2"/>
    <s v="Yes"/>
    <s v="Y"/>
    <n v="2"/>
    <n v="-2"/>
    <n v="0"/>
    <x v="14"/>
    <n v="0"/>
    <m/>
    <n v="0"/>
    <n v="1"/>
    <n v="773"/>
    <n v="6"/>
    <x v="3"/>
    <n v="1"/>
    <n v="3"/>
    <n v="39"/>
    <n v="2"/>
    <n v="1"/>
    <n v="1"/>
    <n v="2703"/>
    <n v="22088"/>
    <n v="1"/>
    <n v="14"/>
    <n v="3"/>
    <n v="4"/>
    <n v="80"/>
    <n v="1"/>
    <n v="3"/>
    <n v="3"/>
    <n v="3"/>
    <n v="1"/>
    <n v="0"/>
    <n v="2"/>
  </r>
  <r>
    <s v="Yes"/>
    <s v="Non-Travel"/>
    <x v="4"/>
    <s v="Ex-Employees"/>
    <x v="1"/>
    <x v="2"/>
    <s v="STAFF-1156"/>
    <x v="828"/>
    <x v="1"/>
    <x v="2"/>
    <x v="0"/>
    <s v="No"/>
    <s v="Y"/>
    <n v="0"/>
    <n v="-2"/>
    <n v="0"/>
    <x v="41"/>
    <n v="1"/>
    <n v="1"/>
    <n v="1"/>
    <n v="0"/>
    <n v="247"/>
    <n v="8"/>
    <x v="1"/>
    <n v="1"/>
    <n v="3"/>
    <n v="80"/>
    <n v="3"/>
    <n v="1"/>
    <n v="3"/>
    <n v="1904"/>
    <n v="13556"/>
    <n v="1"/>
    <n v="12"/>
    <n v="3"/>
    <n v="4"/>
    <n v="80"/>
    <n v="0"/>
    <n v="0"/>
    <n v="3"/>
    <n v="0"/>
    <n v="0"/>
    <n v="0"/>
    <n v="0"/>
  </r>
  <r>
    <s v="Yes"/>
    <s v="Travel_Rarely"/>
    <x v="2"/>
    <s v="Ex-Employees"/>
    <x v="0"/>
    <x v="3"/>
    <s v="STAFF-1157"/>
    <x v="829"/>
    <x v="0"/>
    <x v="0"/>
    <x v="0"/>
    <s v="Yes"/>
    <s v="Y"/>
    <n v="3"/>
    <n v="-2"/>
    <n v="0"/>
    <x v="3"/>
    <n v="1"/>
    <n v="1"/>
    <n v="1"/>
    <n v="0"/>
    <n v="603"/>
    <n v="9"/>
    <x v="2"/>
    <n v="1"/>
    <n v="1"/>
    <n v="77"/>
    <n v="3"/>
    <n v="2"/>
    <n v="2"/>
    <n v="8224"/>
    <n v="18385"/>
    <n v="0"/>
    <n v="17"/>
    <n v="3"/>
    <n v="1"/>
    <n v="80"/>
    <n v="0"/>
    <n v="6"/>
    <n v="3"/>
    <n v="5"/>
    <n v="2"/>
    <n v="0"/>
    <n v="3"/>
  </r>
  <r>
    <s v="No"/>
    <s v="Travel_Rarely"/>
    <x v="0"/>
    <s v="Current Employees"/>
    <x v="1"/>
    <x v="0"/>
    <s v="STAFF-1158"/>
    <x v="830"/>
    <x v="1"/>
    <x v="2"/>
    <x v="1"/>
    <s v="Yes"/>
    <s v="Y"/>
    <n v="4"/>
    <n v="-2"/>
    <n v="0"/>
    <x v="0"/>
    <n v="0"/>
    <m/>
    <n v="0"/>
    <n v="1"/>
    <n v="167"/>
    <n v="12"/>
    <x v="2"/>
    <n v="1"/>
    <n v="2"/>
    <n v="46"/>
    <n v="3"/>
    <n v="1"/>
    <n v="1"/>
    <n v="4766"/>
    <n v="9051"/>
    <n v="3"/>
    <n v="11"/>
    <n v="3"/>
    <n v="1"/>
    <n v="80"/>
    <n v="1"/>
    <n v="6"/>
    <n v="3"/>
    <n v="1"/>
    <n v="0"/>
    <n v="0"/>
    <n v="0"/>
  </r>
  <r>
    <s v="Yes"/>
    <s v="Travel_Frequently"/>
    <x v="2"/>
    <s v="Ex-Employees"/>
    <x v="1"/>
    <x v="2"/>
    <s v="STAFF-1160"/>
    <x v="831"/>
    <x v="1"/>
    <x v="2"/>
    <x v="1"/>
    <s v="No"/>
    <s v="Y"/>
    <n v="5"/>
    <n v="-2"/>
    <n v="0"/>
    <x v="12"/>
    <n v="1"/>
    <n v="1"/>
    <n v="1"/>
    <n v="0"/>
    <n v="874"/>
    <n v="15"/>
    <x v="3"/>
    <n v="1"/>
    <n v="3"/>
    <n v="72"/>
    <n v="3"/>
    <n v="1"/>
    <n v="3"/>
    <n v="2610"/>
    <n v="6233"/>
    <n v="1"/>
    <n v="12"/>
    <n v="3"/>
    <n v="3"/>
    <n v="80"/>
    <n v="1"/>
    <n v="2"/>
    <n v="2"/>
    <n v="2"/>
    <n v="2"/>
    <n v="2"/>
    <n v="2"/>
  </r>
  <r>
    <s v="No"/>
    <s v="Travel_Rarely"/>
    <x v="0"/>
    <s v="Current Employees"/>
    <x v="1"/>
    <x v="2"/>
    <s v="STAFF-1161"/>
    <x v="832"/>
    <x v="0"/>
    <x v="4"/>
    <x v="2"/>
    <s v="No"/>
    <s v="Y"/>
    <n v="2"/>
    <n v="-2"/>
    <n v="0"/>
    <x v="2"/>
    <n v="0"/>
    <m/>
    <n v="0"/>
    <n v="1"/>
    <n v="367"/>
    <n v="25"/>
    <x v="0"/>
    <n v="1"/>
    <n v="3"/>
    <n v="52"/>
    <n v="2"/>
    <n v="2"/>
    <n v="4"/>
    <n v="5731"/>
    <n v="17171"/>
    <n v="7"/>
    <n v="13"/>
    <n v="3"/>
    <n v="3"/>
    <n v="80"/>
    <n v="2"/>
    <n v="9"/>
    <n v="3"/>
    <n v="6"/>
    <n v="2"/>
    <n v="1"/>
    <n v="3"/>
  </r>
  <r>
    <s v="No"/>
    <s v="Travel_Rarely"/>
    <x v="2"/>
    <s v="Current Employees"/>
    <x v="1"/>
    <x v="0"/>
    <s v="STAFF-1162"/>
    <x v="833"/>
    <x v="1"/>
    <x v="1"/>
    <x v="1"/>
    <s v="No"/>
    <s v="Y"/>
    <n v="0"/>
    <n v="-2"/>
    <n v="0"/>
    <x v="4"/>
    <n v="0"/>
    <m/>
    <n v="0"/>
    <n v="1"/>
    <n v="199"/>
    <n v="6"/>
    <x v="3"/>
    <n v="1"/>
    <n v="4"/>
    <n v="55"/>
    <n v="2"/>
    <n v="1"/>
    <n v="1"/>
    <n v="2539"/>
    <n v="7950"/>
    <n v="1"/>
    <n v="13"/>
    <n v="3"/>
    <n v="3"/>
    <n v="80"/>
    <n v="1"/>
    <n v="4"/>
    <n v="3"/>
    <n v="4"/>
    <n v="2"/>
    <n v="2"/>
    <n v="2"/>
  </r>
  <r>
    <s v="No"/>
    <s v="Travel_Rarely"/>
    <x v="2"/>
    <s v="Current Employees"/>
    <x v="0"/>
    <x v="0"/>
    <s v="STAFF-1163"/>
    <x v="834"/>
    <x v="0"/>
    <x v="0"/>
    <x v="1"/>
    <s v="No"/>
    <s v="Y"/>
    <n v="3"/>
    <n v="-2"/>
    <n v="0"/>
    <x v="13"/>
    <n v="0"/>
    <m/>
    <n v="0"/>
    <n v="1"/>
    <n v="1400"/>
    <n v="9"/>
    <x v="1"/>
    <n v="1"/>
    <n v="2"/>
    <n v="70"/>
    <n v="3"/>
    <n v="2"/>
    <n v="1"/>
    <n v="5714"/>
    <n v="5829"/>
    <n v="1"/>
    <n v="20"/>
    <n v="4"/>
    <n v="1"/>
    <n v="80"/>
    <n v="0"/>
    <n v="6"/>
    <n v="2"/>
    <n v="6"/>
    <n v="5"/>
    <n v="1"/>
    <n v="3"/>
  </r>
  <r>
    <s v="No"/>
    <s v="Travel_Rarely"/>
    <x v="0"/>
    <s v="Current Employees"/>
    <x v="2"/>
    <x v="4"/>
    <s v="STAFF-1164"/>
    <x v="835"/>
    <x v="1"/>
    <x v="8"/>
    <x v="0"/>
    <s v="No"/>
    <s v="Y"/>
    <n v="2"/>
    <n v="-2"/>
    <n v="0"/>
    <x v="10"/>
    <n v="0"/>
    <m/>
    <n v="0"/>
    <n v="1"/>
    <n v="528"/>
    <n v="8"/>
    <x v="2"/>
    <n v="1"/>
    <n v="4"/>
    <n v="100"/>
    <n v="3"/>
    <n v="1"/>
    <n v="4"/>
    <n v="4323"/>
    <n v="7108"/>
    <n v="1"/>
    <n v="17"/>
    <n v="3"/>
    <n v="2"/>
    <n v="80"/>
    <n v="0"/>
    <n v="6"/>
    <n v="1"/>
    <n v="5"/>
    <n v="4"/>
    <n v="1"/>
    <n v="4"/>
  </r>
  <r>
    <s v="Yes"/>
    <s v="Travel_Rarely"/>
    <x v="2"/>
    <s v="Ex-Employees"/>
    <x v="0"/>
    <x v="0"/>
    <s v="STAFF-1165"/>
    <x v="836"/>
    <x v="0"/>
    <x v="0"/>
    <x v="1"/>
    <s v="No"/>
    <s v="Y"/>
    <n v="3"/>
    <n v="-2"/>
    <n v="0"/>
    <x v="11"/>
    <n v="1"/>
    <n v="1"/>
    <n v="1"/>
    <n v="0"/>
    <n v="408"/>
    <n v="23"/>
    <x v="1"/>
    <n v="1"/>
    <n v="4"/>
    <n v="45"/>
    <n v="2"/>
    <n v="3"/>
    <n v="1"/>
    <n v="7336"/>
    <n v="11162"/>
    <n v="1"/>
    <n v="13"/>
    <n v="3"/>
    <n v="1"/>
    <n v="80"/>
    <n v="1"/>
    <n v="11"/>
    <n v="1"/>
    <n v="11"/>
    <n v="8"/>
    <n v="3"/>
    <n v="10"/>
  </r>
  <r>
    <s v="No"/>
    <s v="Travel_Frequently"/>
    <x v="0"/>
    <s v="Current Employees"/>
    <x v="1"/>
    <x v="2"/>
    <s v="STAFF-1166"/>
    <x v="837"/>
    <x v="0"/>
    <x v="7"/>
    <x v="0"/>
    <s v="No"/>
    <s v="Y"/>
    <n v="3"/>
    <n v="-2"/>
    <n v="0"/>
    <x v="32"/>
    <n v="0"/>
    <m/>
    <n v="0"/>
    <n v="1"/>
    <n v="593"/>
    <n v="9"/>
    <x v="2"/>
    <n v="1"/>
    <n v="2"/>
    <n v="88"/>
    <n v="3"/>
    <n v="3"/>
    <n v="3"/>
    <n v="13499"/>
    <n v="13782"/>
    <n v="9"/>
    <n v="17"/>
    <n v="3"/>
    <n v="3"/>
    <n v="80"/>
    <n v="0"/>
    <n v="20"/>
    <n v="2"/>
    <n v="18"/>
    <n v="7"/>
    <n v="2"/>
    <n v="13"/>
  </r>
  <r>
    <s v="Yes"/>
    <s v="Travel_Frequently"/>
    <x v="0"/>
    <s v="Ex-Employees"/>
    <x v="0"/>
    <x v="0"/>
    <s v="STAFF-1167"/>
    <x v="838"/>
    <x v="1"/>
    <x v="0"/>
    <x v="0"/>
    <s v="Yes"/>
    <s v="Y"/>
    <n v="2"/>
    <n v="-2"/>
    <n v="0"/>
    <x v="19"/>
    <n v="1"/>
    <n v="1"/>
    <n v="1"/>
    <n v="0"/>
    <n v="481"/>
    <n v="12"/>
    <x v="3"/>
    <n v="1"/>
    <n v="3"/>
    <n v="44"/>
    <n v="3"/>
    <n v="4"/>
    <n v="1"/>
    <n v="13758"/>
    <n v="2447"/>
    <n v="0"/>
    <n v="12"/>
    <n v="3"/>
    <n v="2"/>
    <n v="80"/>
    <n v="0"/>
    <n v="22"/>
    <n v="2"/>
    <n v="21"/>
    <n v="9"/>
    <n v="13"/>
    <n v="14"/>
  </r>
  <r>
    <s v="No"/>
    <s v="Travel_Rarely"/>
    <x v="0"/>
    <s v="Current Employees"/>
    <x v="0"/>
    <x v="3"/>
    <s v="STAFF-1171"/>
    <x v="839"/>
    <x v="1"/>
    <x v="0"/>
    <x v="0"/>
    <s v="No"/>
    <s v="Y"/>
    <n v="3"/>
    <n v="-2"/>
    <n v="0"/>
    <x v="19"/>
    <n v="0"/>
    <m/>
    <n v="0"/>
    <n v="1"/>
    <n v="647"/>
    <n v="4"/>
    <x v="2"/>
    <n v="1"/>
    <n v="2"/>
    <n v="45"/>
    <n v="3"/>
    <n v="2"/>
    <n v="2"/>
    <n v="5155"/>
    <n v="2253"/>
    <n v="7"/>
    <n v="13"/>
    <n v="3"/>
    <n v="4"/>
    <n v="80"/>
    <n v="0"/>
    <n v="9"/>
    <n v="4"/>
    <n v="6"/>
    <n v="4"/>
    <n v="1"/>
    <n v="5"/>
  </r>
  <r>
    <s v="No"/>
    <s v="Travel_Rarely"/>
    <x v="0"/>
    <s v="Current Employees"/>
    <x v="1"/>
    <x v="2"/>
    <s v="STAFF-1172"/>
    <x v="840"/>
    <x v="1"/>
    <x v="2"/>
    <x v="1"/>
    <s v="No"/>
    <s v="Y"/>
    <n v="2"/>
    <n v="-2"/>
    <n v="0"/>
    <x v="10"/>
    <n v="0"/>
    <m/>
    <n v="0"/>
    <n v="1"/>
    <n v="982"/>
    <n v="1"/>
    <x v="2"/>
    <n v="1"/>
    <n v="4"/>
    <n v="58"/>
    <n v="2"/>
    <n v="1"/>
    <n v="3"/>
    <n v="2258"/>
    <n v="16340"/>
    <n v="6"/>
    <n v="12"/>
    <n v="3"/>
    <n v="2"/>
    <n v="80"/>
    <n v="1"/>
    <n v="10"/>
    <n v="3"/>
    <n v="8"/>
    <n v="0"/>
    <n v="1"/>
    <n v="7"/>
  </r>
  <r>
    <s v="No"/>
    <s v="Travel_Rarely"/>
    <x v="4"/>
    <s v="Current Employees"/>
    <x v="1"/>
    <x v="2"/>
    <s v="STAFF-1173"/>
    <x v="841"/>
    <x v="1"/>
    <x v="2"/>
    <x v="0"/>
    <s v="No"/>
    <s v="Y"/>
    <n v="2"/>
    <n v="-2"/>
    <n v="0"/>
    <x v="17"/>
    <n v="0"/>
    <m/>
    <n v="0"/>
    <n v="1"/>
    <n v="477"/>
    <n v="24"/>
    <x v="3"/>
    <n v="1"/>
    <n v="4"/>
    <n v="49"/>
    <n v="3"/>
    <n v="1"/>
    <n v="2"/>
    <n v="3597"/>
    <n v="6409"/>
    <n v="8"/>
    <n v="22"/>
    <n v="4"/>
    <n v="4"/>
    <n v="80"/>
    <n v="0"/>
    <n v="6"/>
    <n v="3"/>
    <n v="4"/>
    <n v="3"/>
    <n v="1"/>
    <n v="2"/>
  </r>
  <r>
    <s v="Yes"/>
    <s v="Travel_Rarely"/>
    <x v="2"/>
    <s v="Ex-Employees"/>
    <x v="1"/>
    <x v="0"/>
    <s v="STAFF-1175"/>
    <x v="842"/>
    <x v="0"/>
    <x v="2"/>
    <x v="1"/>
    <s v="Yes"/>
    <s v="Y"/>
    <n v="4"/>
    <n v="-2"/>
    <n v="0"/>
    <x v="14"/>
    <n v="1"/>
    <n v="1"/>
    <n v="1"/>
    <n v="0"/>
    <n v="1485"/>
    <n v="12"/>
    <x v="1"/>
    <n v="1"/>
    <n v="3"/>
    <n v="79"/>
    <n v="3"/>
    <n v="1"/>
    <n v="1"/>
    <n v="2515"/>
    <n v="22955"/>
    <n v="1"/>
    <n v="11"/>
    <n v="3"/>
    <n v="4"/>
    <n v="80"/>
    <n v="0"/>
    <n v="1"/>
    <n v="2"/>
    <n v="1"/>
    <n v="1"/>
    <n v="0"/>
    <n v="0"/>
  </r>
  <r>
    <s v="No"/>
    <s v="Travel_Rarely"/>
    <x v="2"/>
    <s v="Current Employees"/>
    <x v="1"/>
    <x v="2"/>
    <s v="STAFF-1177"/>
    <x v="843"/>
    <x v="1"/>
    <x v="2"/>
    <x v="1"/>
    <s v="No"/>
    <s v="Y"/>
    <n v="2"/>
    <n v="-2"/>
    <n v="0"/>
    <x v="25"/>
    <n v="0"/>
    <m/>
    <n v="0"/>
    <n v="1"/>
    <n v="1384"/>
    <n v="3"/>
    <x v="2"/>
    <n v="1"/>
    <n v="1"/>
    <n v="82"/>
    <n v="4"/>
    <n v="1"/>
    <n v="4"/>
    <n v="4420"/>
    <n v="13421"/>
    <n v="1"/>
    <n v="22"/>
    <n v="4"/>
    <n v="2"/>
    <n v="80"/>
    <n v="1"/>
    <n v="8"/>
    <n v="3"/>
    <n v="8"/>
    <n v="7"/>
    <n v="0"/>
    <n v="7"/>
  </r>
  <r>
    <s v="No"/>
    <s v="Travel_Rarely"/>
    <x v="2"/>
    <s v="Current Employees"/>
    <x v="0"/>
    <x v="3"/>
    <s v="STAFF-1179"/>
    <x v="844"/>
    <x v="1"/>
    <x v="0"/>
    <x v="1"/>
    <s v="No"/>
    <s v="Y"/>
    <n v="3"/>
    <n v="-2"/>
    <n v="0"/>
    <x v="7"/>
    <n v="0"/>
    <m/>
    <n v="0"/>
    <n v="1"/>
    <n v="852"/>
    <n v="10"/>
    <x v="3"/>
    <n v="1"/>
    <n v="3"/>
    <n v="72"/>
    <n v="2"/>
    <n v="2"/>
    <n v="2"/>
    <n v="6578"/>
    <n v="2706"/>
    <n v="1"/>
    <n v="18"/>
    <n v="3"/>
    <n v="1"/>
    <n v="80"/>
    <n v="1"/>
    <n v="10"/>
    <n v="3"/>
    <n v="10"/>
    <n v="3"/>
    <n v="1"/>
    <n v="4"/>
  </r>
  <r>
    <s v="No"/>
    <s v="Travel_Frequently"/>
    <x v="0"/>
    <s v="Current Employees"/>
    <x v="1"/>
    <x v="2"/>
    <s v="STAFF-1180"/>
    <x v="845"/>
    <x v="0"/>
    <x v="1"/>
    <x v="1"/>
    <s v="Yes"/>
    <s v="Y"/>
    <n v="3"/>
    <n v="-2"/>
    <n v="0"/>
    <x v="32"/>
    <n v="0"/>
    <m/>
    <n v="0"/>
    <n v="1"/>
    <n v="902"/>
    <n v="26"/>
    <x v="0"/>
    <n v="1"/>
    <n v="3"/>
    <n v="92"/>
    <n v="2"/>
    <n v="2"/>
    <n v="4"/>
    <n v="4422"/>
    <n v="21203"/>
    <n v="3"/>
    <n v="13"/>
    <n v="3"/>
    <n v="4"/>
    <n v="80"/>
    <n v="1"/>
    <n v="16"/>
    <n v="1"/>
    <n v="1"/>
    <n v="1"/>
    <n v="0"/>
    <n v="0"/>
  </r>
  <r>
    <s v="No"/>
    <s v="Travel_Rarely"/>
    <x v="0"/>
    <s v="Current Employees"/>
    <x v="1"/>
    <x v="0"/>
    <s v="STAFF-1182"/>
    <x v="846"/>
    <x v="1"/>
    <x v="3"/>
    <x v="2"/>
    <s v="No"/>
    <s v="Y"/>
    <n v="2"/>
    <n v="-2"/>
    <n v="0"/>
    <x v="10"/>
    <n v="0"/>
    <m/>
    <n v="0"/>
    <n v="1"/>
    <n v="819"/>
    <n v="2"/>
    <x v="3"/>
    <n v="1"/>
    <n v="3"/>
    <n v="44"/>
    <n v="2"/>
    <n v="3"/>
    <n v="1"/>
    <n v="10274"/>
    <n v="19588"/>
    <n v="2"/>
    <n v="18"/>
    <n v="3"/>
    <n v="2"/>
    <n v="80"/>
    <n v="1"/>
    <n v="15"/>
    <n v="4"/>
    <n v="7"/>
    <n v="7"/>
    <n v="6"/>
    <n v="4"/>
  </r>
  <r>
    <s v="No"/>
    <s v="Travel_Frequently"/>
    <x v="2"/>
    <s v="Current Employees"/>
    <x v="1"/>
    <x v="2"/>
    <s v="STAFF-1184"/>
    <x v="847"/>
    <x v="1"/>
    <x v="4"/>
    <x v="0"/>
    <s v="No"/>
    <s v="Y"/>
    <n v="3"/>
    <n v="-2"/>
    <n v="0"/>
    <x v="13"/>
    <n v="0"/>
    <m/>
    <n v="0"/>
    <n v="1"/>
    <n v="669"/>
    <n v="1"/>
    <x v="3"/>
    <n v="1"/>
    <n v="4"/>
    <n v="97"/>
    <n v="2"/>
    <n v="2"/>
    <n v="3"/>
    <n v="5343"/>
    <n v="25755"/>
    <n v="0"/>
    <n v="20"/>
    <n v="4"/>
    <n v="3"/>
    <n v="80"/>
    <n v="0"/>
    <n v="14"/>
    <n v="3"/>
    <n v="13"/>
    <n v="9"/>
    <n v="4"/>
    <n v="9"/>
  </r>
  <r>
    <s v="No"/>
    <s v="Travel_Frequently"/>
    <x v="0"/>
    <s v="Current Employees"/>
    <x v="1"/>
    <x v="1"/>
    <s v="STAFF-1185"/>
    <x v="848"/>
    <x v="1"/>
    <x v="2"/>
    <x v="1"/>
    <s v="No"/>
    <s v="Y"/>
    <n v="2"/>
    <n v="-2"/>
    <n v="0"/>
    <x v="10"/>
    <n v="0"/>
    <m/>
    <n v="0"/>
    <n v="1"/>
    <n v="636"/>
    <n v="4"/>
    <x v="2"/>
    <n v="1"/>
    <n v="4"/>
    <n v="47"/>
    <n v="2"/>
    <n v="1"/>
    <n v="4"/>
    <n v="2376"/>
    <n v="26537"/>
    <n v="1"/>
    <n v="13"/>
    <n v="3"/>
    <n v="2"/>
    <n v="80"/>
    <n v="1"/>
    <n v="2"/>
    <n v="4"/>
    <n v="2"/>
    <n v="2"/>
    <n v="2"/>
    <n v="2"/>
  </r>
  <r>
    <s v="Yes"/>
    <s v="Travel_Rarely"/>
    <x v="0"/>
    <s v="Ex-Employees"/>
    <x v="0"/>
    <x v="3"/>
    <s v="STAFF-1188"/>
    <x v="849"/>
    <x v="0"/>
    <x v="0"/>
    <x v="0"/>
    <s v="No"/>
    <s v="Y"/>
    <n v="2"/>
    <n v="-2"/>
    <n v="0"/>
    <x v="23"/>
    <n v="1"/>
    <n v="1"/>
    <n v="1"/>
    <n v="0"/>
    <n v="1372"/>
    <n v="9"/>
    <x v="3"/>
    <n v="1"/>
    <n v="1"/>
    <n v="85"/>
    <n v="1"/>
    <n v="2"/>
    <n v="2"/>
    <n v="5346"/>
    <n v="9489"/>
    <n v="8"/>
    <n v="13"/>
    <n v="3"/>
    <n v="2"/>
    <n v="80"/>
    <n v="0"/>
    <n v="7"/>
    <n v="2"/>
    <n v="4"/>
    <n v="3"/>
    <n v="1"/>
    <n v="3"/>
  </r>
  <r>
    <s v="No"/>
    <s v="Non-Travel"/>
    <x v="2"/>
    <s v="Current Employees"/>
    <x v="0"/>
    <x v="0"/>
    <s v="STAFF-1190"/>
    <x v="850"/>
    <x v="0"/>
    <x v="6"/>
    <x v="2"/>
    <s v="No"/>
    <s v="Y"/>
    <n v="3"/>
    <n v="-2"/>
    <n v="0"/>
    <x v="5"/>
    <n v="0"/>
    <m/>
    <n v="0"/>
    <n v="1"/>
    <n v="862"/>
    <n v="2"/>
    <x v="1"/>
    <n v="1"/>
    <n v="3"/>
    <n v="76"/>
    <n v="3"/>
    <n v="1"/>
    <n v="1"/>
    <n v="2827"/>
    <n v="14947"/>
    <n v="1"/>
    <n v="12"/>
    <n v="3"/>
    <n v="3"/>
    <n v="80"/>
    <n v="3"/>
    <n v="1"/>
    <n v="3"/>
    <n v="1"/>
    <n v="0"/>
    <n v="0"/>
    <n v="0"/>
  </r>
  <r>
    <s v="No"/>
    <s v="Travel_Rarely"/>
    <x v="3"/>
    <s v="Current Employees"/>
    <x v="1"/>
    <x v="4"/>
    <s v="STAFF-1191"/>
    <x v="851"/>
    <x v="0"/>
    <x v="5"/>
    <x v="2"/>
    <s v="No"/>
    <s v="Y"/>
    <n v="2"/>
    <n v="-2"/>
    <n v="0"/>
    <x v="29"/>
    <n v="0"/>
    <m/>
    <n v="0"/>
    <n v="1"/>
    <n v="718"/>
    <n v="4"/>
    <x v="2"/>
    <n v="1"/>
    <n v="4"/>
    <n v="92"/>
    <n v="3"/>
    <n v="5"/>
    <n v="4"/>
    <n v="19943"/>
    <n v="18575"/>
    <n v="4"/>
    <n v="13"/>
    <n v="3"/>
    <n v="4"/>
    <n v="80"/>
    <n v="1"/>
    <n v="28"/>
    <n v="3"/>
    <n v="5"/>
    <n v="2"/>
    <n v="4"/>
    <n v="2"/>
  </r>
  <r>
    <s v="No"/>
    <s v="Travel_Rarely"/>
    <x v="2"/>
    <s v="Current Employees"/>
    <x v="1"/>
    <x v="2"/>
    <s v="STAFF-1192"/>
    <x v="852"/>
    <x v="0"/>
    <x v="2"/>
    <x v="1"/>
    <s v="No"/>
    <s v="Y"/>
    <n v="5"/>
    <n v="-2"/>
    <n v="0"/>
    <x v="11"/>
    <n v="0"/>
    <m/>
    <n v="0"/>
    <n v="1"/>
    <n v="1401"/>
    <n v="6"/>
    <x v="1"/>
    <n v="1"/>
    <n v="2"/>
    <n v="54"/>
    <n v="3"/>
    <n v="1"/>
    <n v="4"/>
    <n v="3131"/>
    <n v="26342"/>
    <n v="1"/>
    <n v="13"/>
    <n v="3"/>
    <n v="1"/>
    <n v="80"/>
    <n v="1"/>
    <n v="10"/>
    <n v="3"/>
    <n v="10"/>
    <n v="8"/>
    <n v="0"/>
    <n v="8"/>
  </r>
  <r>
    <s v="No"/>
    <s v="Travel_Rarely"/>
    <x v="4"/>
    <s v="Current Employees"/>
    <x v="1"/>
    <x v="0"/>
    <s v="STAFF-1193"/>
    <x v="853"/>
    <x v="1"/>
    <x v="1"/>
    <x v="0"/>
    <s v="No"/>
    <s v="Y"/>
    <n v="4"/>
    <n v="-2"/>
    <n v="0"/>
    <x v="37"/>
    <n v="0"/>
    <m/>
    <n v="0"/>
    <n v="1"/>
    <n v="645"/>
    <n v="9"/>
    <x v="0"/>
    <n v="1"/>
    <n v="3"/>
    <n v="54"/>
    <n v="3"/>
    <n v="1"/>
    <n v="1"/>
    <n v="2552"/>
    <n v="7172"/>
    <n v="1"/>
    <n v="25"/>
    <n v="4"/>
    <n v="3"/>
    <n v="80"/>
    <n v="0"/>
    <n v="1"/>
    <n v="3"/>
    <n v="1"/>
    <n v="1"/>
    <n v="0"/>
    <n v="0"/>
  </r>
  <r>
    <s v="No"/>
    <s v="Travel_Rarely"/>
    <x v="1"/>
    <s v="Current Employees"/>
    <x v="1"/>
    <x v="2"/>
    <s v="STAFF-1195"/>
    <x v="854"/>
    <x v="0"/>
    <x v="1"/>
    <x v="1"/>
    <s v="Yes"/>
    <s v="Y"/>
    <n v="2"/>
    <n v="-2"/>
    <n v="0"/>
    <x v="28"/>
    <n v="0"/>
    <m/>
    <n v="0"/>
    <n v="1"/>
    <n v="1457"/>
    <n v="7"/>
    <x v="3"/>
    <n v="1"/>
    <n v="1"/>
    <n v="83"/>
    <n v="3"/>
    <n v="1"/>
    <n v="3"/>
    <n v="4477"/>
    <n v="20100"/>
    <n v="4"/>
    <n v="19"/>
    <n v="3"/>
    <n v="3"/>
    <n v="80"/>
    <n v="1"/>
    <n v="7"/>
    <n v="2"/>
    <n v="3"/>
    <n v="2"/>
    <n v="0"/>
    <n v="2"/>
  </r>
  <r>
    <s v="No"/>
    <s v="Travel_Rarely"/>
    <x v="0"/>
    <s v="Current Employees"/>
    <x v="1"/>
    <x v="0"/>
    <s v="STAFF-1196"/>
    <x v="855"/>
    <x v="0"/>
    <x v="3"/>
    <x v="1"/>
    <s v="No"/>
    <s v="Y"/>
    <n v="2"/>
    <n v="-2"/>
    <n v="0"/>
    <x v="2"/>
    <n v="0"/>
    <m/>
    <n v="0"/>
    <n v="1"/>
    <n v="977"/>
    <n v="1"/>
    <x v="3"/>
    <n v="1"/>
    <n v="4"/>
    <n v="56"/>
    <n v="2"/>
    <n v="2"/>
    <n v="1"/>
    <n v="6474"/>
    <n v="9961"/>
    <n v="1"/>
    <n v="13"/>
    <n v="3"/>
    <n v="2"/>
    <n v="80"/>
    <n v="1"/>
    <n v="14"/>
    <n v="2"/>
    <n v="14"/>
    <n v="8"/>
    <n v="3"/>
    <n v="11"/>
  </r>
  <r>
    <s v="No"/>
    <s v="Travel_Rarely"/>
    <x v="4"/>
    <s v="Current Employees"/>
    <x v="1"/>
    <x v="0"/>
    <s v="STAFF-1198"/>
    <x v="856"/>
    <x v="1"/>
    <x v="2"/>
    <x v="0"/>
    <s v="No"/>
    <s v="Y"/>
    <n v="2"/>
    <n v="-2"/>
    <n v="0"/>
    <x v="35"/>
    <n v="0"/>
    <m/>
    <n v="0"/>
    <n v="1"/>
    <n v="805"/>
    <n v="3"/>
    <x v="3"/>
    <n v="1"/>
    <n v="1"/>
    <n v="87"/>
    <n v="2"/>
    <n v="1"/>
    <n v="1"/>
    <n v="3033"/>
    <n v="12828"/>
    <n v="1"/>
    <n v="12"/>
    <n v="3"/>
    <n v="1"/>
    <n v="80"/>
    <n v="0"/>
    <n v="2"/>
    <n v="2"/>
    <n v="2"/>
    <n v="2"/>
    <n v="1"/>
    <n v="2"/>
  </r>
  <r>
    <s v="Yes"/>
    <s v="Travel_Rarely"/>
    <x v="0"/>
    <s v="Ex-Employees"/>
    <x v="1"/>
    <x v="0"/>
    <s v="STAFF-1200"/>
    <x v="857"/>
    <x v="1"/>
    <x v="1"/>
    <x v="0"/>
    <s v="Yes"/>
    <s v="Y"/>
    <n v="4"/>
    <n v="-2"/>
    <n v="0"/>
    <x v="20"/>
    <n v="1"/>
    <n v="1"/>
    <n v="1"/>
    <n v="0"/>
    <n v="1097"/>
    <n v="10"/>
    <x v="2"/>
    <n v="1"/>
    <n v="3"/>
    <n v="96"/>
    <n v="3"/>
    <n v="1"/>
    <n v="1"/>
    <n v="2936"/>
    <n v="10826"/>
    <n v="1"/>
    <n v="11"/>
    <n v="3"/>
    <n v="3"/>
    <n v="80"/>
    <n v="0"/>
    <n v="6"/>
    <n v="3"/>
    <n v="6"/>
    <n v="4"/>
    <n v="0"/>
    <n v="2"/>
  </r>
  <r>
    <s v="No"/>
    <s v="Travel_Rarely"/>
    <x v="1"/>
    <s v="Current Employees"/>
    <x v="1"/>
    <x v="2"/>
    <s v="STAFF-1201"/>
    <x v="858"/>
    <x v="0"/>
    <x v="5"/>
    <x v="2"/>
    <s v="No"/>
    <s v="Y"/>
    <n v="6"/>
    <n v="-2"/>
    <n v="0"/>
    <x v="16"/>
    <n v="0"/>
    <m/>
    <n v="0"/>
    <n v="1"/>
    <n v="1223"/>
    <n v="7"/>
    <x v="0"/>
    <n v="1"/>
    <n v="4"/>
    <n v="50"/>
    <n v="3"/>
    <n v="5"/>
    <n v="3"/>
    <n v="18606"/>
    <n v="18640"/>
    <n v="3"/>
    <n v="18"/>
    <n v="3"/>
    <n v="2"/>
    <n v="80"/>
    <n v="1"/>
    <n v="26"/>
    <n v="3"/>
    <n v="7"/>
    <n v="7"/>
    <n v="4"/>
    <n v="7"/>
  </r>
  <r>
    <s v="No"/>
    <s v="Travel_Rarely"/>
    <x v="2"/>
    <s v="Current Employees"/>
    <x v="1"/>
    <x v="0"/>
    <s v="STAFF-1202"/>
    <x v="859"/>
    <x v="0"/>
    <x v="1"/>
    <x v="1"/>
    <s v="Yes"/>
    <s v="Y"/>
    <n v="2"/>
    <n v="-2"/>
    <n v="0"/>
    <x v="11"/>
    <n v="0"/>
    <m/>
    <n v="0"/>
    <n v="1"/>
    <n v="942"/>
    <n v="15"/>
    <x v="1"/>
    <n v="1"/>
    <n v="2"/>
    <n v="69"/>
    <n v="1"/>
    <n v="1"/>
    <n v="1"/>
    <n v="2168"/>
    <n v="26933"/>
    <n v="0"/>
    <n v="18"/>
    <n v="3"/>
    <n v="1"/>
    <n v="80"/>
    <n v="1"/>
    <n v="6"/>
    <n v="2"/>
    <n v="5"/>
    <n v="4"/>
    <n v="1"/>
    <n v="3"/>
  </r>
  <r>
    <s v="Yes"/>
    <s v="Travel_Frequently"/>
    <x v="4"/>
    <s v="Ex-Employees"/>
    <x v="1"/>
    <x v="0"/>
    <s v="STAFF-1203"/>
    <x v="860"/>
    <x v="1"/>
    <x v="1"/>
    <x v="1"/>
    <s v="Yes"/>
    <s v="Y"/>
    <n v="5"/>
    <n v="-2"/>
    <n v="0"/>
    <x v="15"/>
    <n v="1"/>
    <n v="1"/>
    <n v="1"/>
    <n v="0"/>
    <n v="1256"/>
    <n v="3"/>
    <x v="2"/>
    <n v="1"/>
    <n v="3"/>
    <n v="48"/>
    <n v="2"/>
    <n v="1"/>
    <n v="1"/>
    <n v="2853"/>
    <n v="4223"/>
    <n v="0"/>
    <n v="11"/>
    <n v="3"/>
    <n v="2"/>
    <n v="80"/>
    <n v="1"/>
    <n v="1"/>
    <n v="3"/>
    <n v="0"/>
    <n v="0"/>
    <n v="0"/>
    <n v="0"/>
  </r>
  <r>
    <s v="No"/>
    <s v="Travel_Rarely"/>
    <x v="1"/>
    <s v="Current Employees"/>
    <x v="0"/>
    <x v="3"/>
    <s v="STAFF-1204"/>
    <x v="861"/>
    <x v="0"/>
    <x v="5"/>
    <x v="1"/>
    <s v="No"/>
    <s v="Y"/>
    <n v="2"/>
    <n v="-2"/>
    <n v="0"/>
    <x v="21"/>
    <n v="0"/>
    <m/>
    <n v="0"/>
    <n v="1"/>
    <n v="1402"/>
    <n v="2"/>
    <x v="3"/>
    <n v="1"/>
    <n v="3"/>
    <n v="69"/>
    <n v="3"/>
    <n v="4"/>
    <n v="2"/>
    <n v="17048"/>
    <n v="24097"/>
    <n v="8"/>
    <n v="23"/>
    <n v="4"/>
    <n v="1"/>
    <n v="80"/>
    <n v="0"/>
    <n v="28"/>
    <n v="3"/>
    <n v="26"/>
    <n v="15"/>
    <n v="15"/>
    <n v="9"/>
  </r>
  <r>
    <s v="No"/>
    <s v="Non-Travel"/>
    <x v="0"/>
    <s v="Current Employees"/>
    <x v="1"/>
    <x v="0"/>
    <s v="STAFF-1206"/>
    <x v="862"/>
    <x v="1"/>
    <x v="1"/>
    <x v="0"/>
    <s v="No"/>
    <s v="Y"/>
    <n v="3"/>
    <n v="-2"/>
    <n v="0"/>
    <x v="20"/>
    <n v="0"/>
    <m/>
    <n v="0"/>
    <n v="1"/>
    <n v="111"/>
    <n v="17"/>
    <x v="3"/>
    <n v="1"/>
    <n v="4"/>
    <n v="74"/>
    <n v="1"/>
    <n v="1"/>
    <n v="1"/>
    <n v="2290"/>
    <n v="4279"/>
    <n v="2"/>
    <n v="13"/>
    <n v="3"/>
    <n v="4"/>
    <n v="80"/>
    <n v="0"/>
    <n v="6"/>
    <n v="3"/>
    <n v="0"/>
    <n v="0"/>
    <n v="0"/>
    <n v="0"/>
  </r>
  <r>
    <s v="No"/>
    <s v="Travel_Rarely"/>
    <x v="2"/>
    <s v="Current Employees"/>
    <x v="2"/>
    <x v="5"/>
    <s v="STAFF-1207"/>
    <x v="863"/>
    <x v="1"/>
    <x v="8"/>
    <x v="1"/>
    <s v="No"/>
    <s v="Y"/>
    <n v="2"/>
    <n v="-2"/>
    <n v="0"/>
    <x v="3"/>
    <n v="0"/>
    <m/>
    <n v="0"/>
    <n v="1"/>
    <n v="147"/>
    <n v="2"/>
    <x v="3"/>
    <n v="1"/>
    <n v="2"/>
    <n v="99"/>
    <n v="3"/>
    <n v="1"/>
    <n v="3"/>
    <n v="3600"/>
    <n v="8429"/>
    <n v="1"/>
    <n v="13"/>
    <n v="3"/>
    <n v="4"/>
    <n v="80"/>
    <n v="1"/>
    <n v="5"/>
    <n v="3"/>
    <n v="5"/>
    <n v="4"/>
    <n v="1"/>
    <n v="4"/>
  </r>
  <r>
    <s v="Yes"/>
    <s v="Non-Travel"/>
    <x v="0"/>
    <s v="Ex-Employees"/>
    <x v="1"/>
    <x v="0"/>
    <s v="STAFF-1210"/>
    <x v="864"/>
    <x v="1"/>
    <x v="1"/>
    <x v="2"/>
    <s v="No"/>
    <s v="Y"/>
    <n v="2"/>
    <n v="-2"/>
    <n v="0"/>
    <x v="0"/>
    <n v="1"/>
    <n v="1"/>
    <n v="1"/>
    <n v="0"/>
    <n v="906"/>
    <n v="5"/>
    <x v="0"/>
    <n v="1"/>
    <n v="1"/>
    <n v="95"/>
    <n v="2"/>
    <n v="1"/>
    <n v="1"/>
    <n v="2107"/>
    <n v="20293"/>
    <n v="6"/>
    <n v="17"/>
    <n v="3"/>
    <n v="1"/>
    <n v="80"/>
    <n v="1"/>
    <n v="5"/>
    <n v="1"/>
    <n v="1"/>
    <n v="0"/>
    <n v="0"/>
    <n v="0"/>
  </r>
  <r>
    <s v="No"/>
    <s v="Travel_Rarely"/>
    <x v="2"/>
    <s v="Current Employees"/>
    <x v="0"/>
    <x v="0"/>
    <s v="STAFF-1211"/>
    <x v="865"/>
    <x v="1"/>
    <x v="0"/>
    <x v="2"/>
    <s v="No"/>
    <s v="Y"/>
    <n v="3"/>
    <n v="-2"/>
    <n v="0"/>
    <x v="7"/>
    <n v="0"/>
    <m/>
    <n v="0"/>
    <n v="1"/>
    <n v="1329"/>
    <n v="29"/>
    <x v="2"/>
    <n v="1"/>
    <n v="3"/>
    <n v="61"/>
    <n v="3"/>
    <n v="2"/>
    <n v="1"/>
    <n v="4115"/>
    <n v="13192"/>
    <n v="8"/>
    <n v="19"/>
    <n v="3"/>
    <n v="3"/>
    <n v="80"/>
    <n v="3"/>
    <n v="8"/>
    <n v="3"/>
    <n v="4"/>
    <n v="3"/>
    <n v="0"/>
    <n v="3"/>
  </r>
  <r>
    <s v="No"/>
    <s v="Travel_Frequently"/>
    <x v="0"/>
    <s v="Current Employees"/>
    <x v="0"/>
    <x v="2"/>
    <s v="STAFF-1212"/>
    <x v="866"/>
    <x v="1"/>
    <x v="0"/>
    <x v="1"/>
    <s v="No"/>
    <s v="Y"/>
    <n v="2"/>
    <n v="-2"/>
    <n v="0"/>
    <x v="32"/>
    <n v="0"/>
    <m/>
    <n v="0"/>
    <n v="1"/>
    <n v="1184"/>
    <n v="2"/>
    <x v="2"/>
    <n v="1"/>
    <n v="2"/>
    <n v="62"/>
    <n v="3"/>
    <n v="2"/>
    <n v="2"/>
    <n v="4327"/>
    <n v="25440"/>
    <n v="5"/>
    <n v="12"/>
    <n v="3"/>
    <n v="4"/>
    <n v="80"/>
    <n v="3"/>
    <n v="5"/>
    <n v="3"/>
    <n v="0"/>
    <n v="0"/>
    <n v="0"/>
    <n v="0"/>
  </r>
  <r>
    <s v="No"/>
    <s v="Travel_Frequently"/>
    <x v="1"/>
    <s v="Current Employees"/>
    <x v="1"/>
    <x v="2"/>
    <s v="STAFF-1215"/>
    <x v="867"/>
    <x v="0"/>
    <x v="5"/>
    <x v="1"/>
    <s v="No"/>
    <s v="Y"/>
    <n v="3"/>
    <n v="-2"/>
    <n v="0"/>
    <x v="24"/>
    <n v="0"/>
    <m/>
    <n v="0"/>
    <n v="1"/>
    <n v="1421"/>
    <n v="2"/>
    <x v="3"/>
    <n v="1"/>
    <n v="4"/>
    <n v="30"/>
    <n v="3"/>
    <n v="4"/>
    <n v="3"/>
    <n v="17856"/>
    <n v="9490"/>
    <n v="2"/>
    <n v="22"/>
    <n v="4"/>
    <n v="3"/>
    <n v="80"/>
    <n v="1"/>
    <n v="32"/>
    <n v="3"/>
    <n v="2"/>
    <n v="2"/>
    <n v="2"/>
    <n v="2"/>
  </r>
  <r>
    <s v="No"/>
    <s v="Travel_Rarely"/>
    <x v="2"/>
    <s v="Current Employees"/>
    <x v="1"/>
    <x v="2"/>
    <s v="STAFF-1216"/>
    <x v="868"/>
    <x v="1"/>
    <x v="2"/>
    <x v="1"/>
    <s v="No"/>
    <s v="Y"/>
    <n v="2"/>
    <n v="-2"/>
    <n v="0"/>
    <x v="14"/>
    <n v="0"/>
    <m/>
    <n v="0"/>
    <n v="1"/>
    <n v="1179"/>
    <n v="19"/>
    <x v="2"/>
    <n v="1"/>
    <n v="4"/>
    <n v="78"/>
    <n v="2"/>
    <n v="1"/>
    <n v="3"/>
    <n v="3196"/>
    <n v="12449"/>
    <n v="1"/>
    <n v="12"/>
    <n v="3"/>
    <n v="3"/>
    <n v="80"/>
    <n v="3"/>
    <n v="6"/>
    <n v="3"/>
    <n v="6"/>
    <n v="5"/>
    <n v="3"/>
    <n v="3"/>
  </r>
  <r>
    <s v="No"/>
    <s v="Travel_Rarely"/>
    <x v="1"/>
    <s v="Current Employees"/>
    <x v="1"/>
    <x v="0"/>
    <s v="STAFF-1217"/>
    <x v="869"/>
    <x v="1"/>
    <x v="7"/>
    <x v="1"/>
    <s v="No"/>
    <s v="Y"/>
    <n v="2"/>
    <n v="-2"/>
    <n v="0"/>
    <x v="21"/>
    <n v="0"/>
    <m/>
    <n v="0"/>
    <n v="1"/>
    <n v="1450"/>
    <n v="15"/>
    <x v="0"/>
    <n v="1"/>
    <n v="4"/>
    <n v="52"/>
    <n v="3"/>
    <n v="5"/>
    <n v="1"/>
    <n v="19081"/>
    <n v="10849"/>
    <n v="5"/>
    <n v="11"/>
    <n v="3"/>
    <n v="1"/>
    <n v="80"/>
    <n v="1"/>
    <n v="25"/>
    <n v="3"/>
    <n v="4"/>
    <n v="2"/>
    <n v="0"/>
    <n v="3"/>
  </r>
  <r>
    <s v="No"/>
    <s v="Travel_Rarely"/>
    <x v="0"/>
    <s v="Current Employees"/>
    <x v="0"/>
    <x v="0"/>
    <s v="STAFF-1218"/>
    <x v="870"/>
    <x v="1"/>
    <x v="0"/>
    <x v="1"/>
    <s v="Yes"/>
    <s v="Y"/>
    <n v="2"/>
    <n v="-2"/>
    <n v="0"/>
    <x v="10"/>
    <n v="0"/>
    <m/>
    <n v="0"/>
    <n v="1"/>
    <n v="1361"/>
    <n v="17"/>
    <x v="2"/>
    <n v="1"/>
    <n v="3"/>
    <n v="94"/>
    <n v="3"/>
    <n v="2"/>
    <n v="1"/>
    <n v="8966"/>
    <n v="21026"/>
    <n v="3"/>
    <n v="15"/>
    <n v="3"/>
    <n v="4"/>
    <n v="80"/>
    <n v="3"/>
    <n v="15"/>
    <n v="3"/>
    <n v="7"/>
    <n v="7"/>
    <n v="1"/>
    <n v="7"/>
  </r>
  <r>
    <s v="Yes"/>
    <s v="Travel_Rarely"/>
    <x v="4"/>
    <s v="Ex-Employees"/>
    <x v="1"/>
    <x v="0"/>
    <s v="STAFF-1219"/>
    <x v="871"/>
    <x v="0"/>
    <x v="2"/>
    <x v="1"/>
    <s v="No"/>
    <s v="Y"/>
    <n v="3"/>
    <n v="-2"/>
    <n v="0"/>
    <x v="17"/>
    <n v="1"/>
    <n v="1"/>
    <n v="1"/>
    <n v="0"/>
    <n v="984"/>
    <n v="17"/>
    <x v="0"/>
    <n v="1"/>
    <n v="4"/>
    <n v="97"/>
    <n v="3"/>
    <n v="1"/>
    <n v="1"/>
    <n v="2210"/>
    <n v="3372"/>
    <n v="1"/>
    <n v="13"/>
    <n v="3"/>
    <n v="1"/>
    <n v="80"/>
    <n v="1"/>
    <n v="1"/>
    <n v="1"/>
    <n v="1"/>
    <n v="0"/>
    <n v="0"/>
    <n v="0"/>
  </r>
  <r>
    <s v="No"/>
    <s v="Travel_Frequently"/>
    <x v="2"/>
    <s v="Current Employees"/>
    <x v="0"/>
    <x v="2"/>
    <s v="STAFF-1220"/>
    <x v="872"/>
    <x v="0"/>
    <x v="0"/>
    <x v="1"/>
    <s v="No"/>
    <s v="Y"/>
    <n v="3"/>
    <n v="-2"/>
    <n v="0"/>
    <x v="3"/>
    <n v="0"/>
    <m/>
    <n v="0"/>
    <n v="1"/>
    <n v="1146"/>
    <n v="25"/>
    <x v="3"/>
    <n v="1"/>
    <n v="2"/>
    <n v="82"/>
    <n v="3"/>
    <n v="2"/>
    <n v="3"/>
    <n v="4539"/>
    <n v="4905"/>
    <n v="1"/>
    <n v="12"/>
    <n v="3"/>
    <n v="1"/>
    <n v="80"/>
    <n v="1"/>
    <n v="10"/>
    <n v="2"/>
    <n v="10"/>
    <n v="7"/>
    <n v="0"/>
    <n v="1"/>
  </r>
  <r>
    <s v="No"/>
    <s v="Travel_Rarely"/>
    <x v="0"/>
    <s v="Current Employees"/>
    <x v="1"/>
    <x v="0"/>
    <s v="STAFF-1221"/>
    <x v="873"/>
    <x v="1"/>
    <x v="2"/>
    <x v="2"/>
    <s v="No"/>
    <s v="Y"/>
    <n v="4"/>
    <n v="-2"/>
    <n v="0"/>
    <x v="9"/>
    <n v="0"/>
    <m/>
    <n v="0"/>
    <n v="1"/>
    <n v="917"/>
    <n v="6"/>
    <x v="2"/>
    <n v="1"/>
    <n v="3"/>
    <n v="60"/>
    <n v="1"/>
    <n v="1"/>
    <n v="1"/>
    <n v="2741"/>
    <n v="6865"/>
    <n v="1"/>
    <n v="14"/>
    <n v="3"/>
    <n v="3"/>
    <n v="80"/>
    <n v="1"/>
    <n v="7"/>
    <n v="3"/>
    <n v="7"/>
    <n v="7"/>
    <n v="1"/>
    <n v="7"/>
  </r>
  <r>
    <s v="No"/>
    <s v="Travel_Rarely"/>
    <x v="2"/>
    <s v="Current Employees"/>
    <x v="1"/>
    <x v="0"/>
    <s v="STAFF-1224"/>
    <x v="874"/>
    <x v="1"/>
    <x v="2"/>
    <x v="2"/>
    <s v="No"/>
    <s v="Y"/>
    <n v="4"/>
    <n v="-2"/>
    <n v="0"/>
    <x v="7"/>
    <n v="0"/>
    <m/>
    <n v="0"/>
    <n v="1"/>
    <n v="853"/>
    <n v="7"/>
    <x v="2"/>
    <n v="1"/>
    <n v="3"/>
    <n v="49"/>
    <n v="3"/>
    <n v="2"/>
    <n v="1"/>
    <n v="3491"/>
    <n v="11309"/>
    <n v="1"/>
    <n v="13"/>
    <n v="3"/>
    <n v="1"/>
    <n v="80"/>
    <n v="3"/>
    <n v="10"/>
    <n v="2"/>
    <n v="10"/>
    <n v="7"/>
    <n v="8"/>
    <n v="9"/>
  </r>
  <r>
    <s v="No"/>
    <s v="Travel_Rarely"/>
    <x v="0"/>
    <s v="Current Employees"/>
    <x v="1"/>
    <x v="1"/>
    <s v="STAFF-1225"/>
    <x v="875"/>
    <x v="1"/>
    <x v="1"/>
    <x v="0"/>
    <s v="No"/>
    <s v="Y"/>
    <n v="3"/>
    <n v="-2"/>
    <n v="0"/>
    <x v="20"/>
    <n v="0"/>
    <m/>
    <n v="0"/>
    <n v="1"/>
    <n v="200"/>
    <n v="29"/>
    <x v="2"/>
    <n v="1"/>
    <n v="4"/>
    <n v="32"/>
    <n v="3"/>
    <n v="2"/>
    <n v="4"/>
    <n v="4541"/>
    <n v="7744"/>
    <n v="1"/>
    <n v="25"/>
    <n v="4"/>
    <n v="2"/>
    <n v="80"/>
    <n v="0"/>
    <n v="20"/>
    <n v="3"/>
    <n v="20"/>
    <n v="11"/>
    <n v="13"/>
    <n v="17"/>
  </r>
  <r>
    <s v="No"/>
    <s v="Travel_Rarely"/>
    <x v="4"/>
    <s v="Current Employees"/>
    <x v="0"/>
    <x v="3"/>
    <s v="STAFF-1226"/>
    <x v="876"/>
    <x v="1"/>
    <x v="6"/>
    <x v="0"/>
    <s v="No"/>
    <s v="Y"/>
    <n v="2"/>
    <n v="-2"/>
    <n v="0"/>
    <x v="35"/>
    <n v="0"/>
    <m/>
    <n v="0"/>
    <n v="1"/>
    <n v="654"/>
    <n v="21"/>
    <x v="3"/>
    <n v="1"/>
    <n v="3"/>
    <n v="43"/>
    <n v="4"/>
    <n v="1"/>
    <n v="2"/>
    <n v="2678"/>
    <n v="5050"/>
    <n v="1"/>
    <n v="17"/>
    <n v="3"/>
    <n v="4"/>
    <n v="80"/>
    <n v="0"/>
    <n v="2"/>
    <n v="3"/>
    <n v="2"/>
    <n v="1"/>
    <n v="2"/>
    <n v="2"/>
  </r>
  <r>
    <s v="No"/>
    <s v="Travel_Rarely"/>
    <x v="1"/>
    <s v="Current Employees"/>
    <x v="1"/>
    <x v="4"/>
    <s v="STAFF-1228"/>
    <x v="877"/>
    <x v="1"/>
    <x v="3"/>
    <x v="2"/>
    <s v="No"/>
    <s v="Y"/>
    <n v="3"/>
    <n v="-2"/>
    <n v="0"/>
    <x v="21"/>
    <n v="0"/>
    <m/>
    <n v="0"/>
    <n v="1"/>
    <n v="150"/>
    <n v="2"/>
    <x v="2"/>
    <n v="1"/>
    <n v="4"/>
    <n v="60"/>
    <n v="3"/>
    <n v="2"/>
    <n v="4"/>
    <n v="7379"/>
    <n v="17433"/>
    <n v="2"/>
    <n v="11"/>
    <n v="3"/>
    <n v="3"/>
    <n v="80"/>
    <n v="1"/>
    <n v="12"/>
    <n v="2"/>
    <n v="6"/>
    <n v="3"/>
    <n v="1"/>
    <n v="4"/>
  </r>
  <r>
    <s v="No"/>
    <s v="Non-Travel"/>
    <x v="0"/>
    <s v="Current Employees"/>
    <x v="2"/>
    <x v="2"/>
    <s v="STAFF-1231"/>
    <x v="878"/>
    <x v="1"/>
    <x v="8"/>
    <x v="1"/>
    <s v="No"/>
    <s v="Y"/>
    <n v="3"/>
    <n v="-2"/>
    <n v="0"/>
    <x v="19"/>
    <n v="0"/>
    <m/>
    <n v="0"/>
    <n v="1"/>
    <n v="179"/>
    <n v="2"/>
    <x v="4"/>
    <n v="1"/>
    <n v="4"/>
    <n v="79"/>
    <n v="4"/>
    <n v="2"/>
    <n v="3"/>
    <n v="6272"/>
    <n v="12858"/>
    <n v="7"/>
    <n v="16"/>
    <n v="3"/>
    <n v="1"/>
    <n v="80"/>
    <n v="1"/>
    <n v="10"/>
    <n v="4"/>
    <n v="4"/>
    <n v="3"/>
    <n v="0"/>
    <n v="3"/>
  </r>
  <r>
    <s v="No"/>
    <s v="Travel_Rarely"/>
    <x v="3"/>
    <s v="Current Employees"/>
    <x v="0"/>
    <x v="3"/>
    <s v="STAFF-1233"/>
    <x v="879"/>
    <x v="1"/>
    <x v="0"/>
    <x v="2"/>
    <s v="Yes"/>
    <s v="Y"/>
    <n v="3"/>
    <n v="-2"/>
    <n v="0"/>
    <x v="42"/>
    <n v="0"/>
    <m/>
    <n v="0"/>
    <n v="1"/>
    <n v="696"/>
    <n v="7"/>
    <x v="2"/>
    <n v="1"/>
    <n v="2"/>
    <n v="52"/>
    <n v="4"/>
    <n v="2"/>
    <n v="2"/>
    <n v="5220"/>
    <n v="10893"/>
    <n v="0"/>
    <n v="18"/>
    <n v="3"/>
    <n v="2"/>
    <n v="80"/>
    <n v="1"/>
    <n v="12"/>
    <n v="3"/>
    <n v="11"/>
    <n v="7"/>
    <n v="1"/>
    <n v="9"/>
  </r>
  <r>
    <s v="No"/>
    <s v="Travel_Frequently"/>
    <x v="2"/>
    <s v="Current Employees"/>
    <x v="1"/>
    <x v="1"/>
    <s v="STAFF-1234"/>
    <x v="880"/>
    <x v="0"/>
    <x v="2"/>
    <x v="1"/>
    <s v="No"/>
    <s v="Y"/>
    <n v="2"/>
    <n v="-2"/>
    <n v="0"/>
    <x v="5"/>
    <n v="0"/>
    <m/>
    <n v="0"/>
    <n v="1"/>
    <n v="116"/>
    <n v="13"/>
    <x v="3"/>
    <n v="1"/>
    <n v="3"/>
    <n v="77"/>
    <n v="2"/>
    <n v="1"/>
    <n v="2"/>
    <n v="2743"/>
    <n v="7331"/>
    <n v="1"/>
    <n v="20"/>
    <n v="4"/>
    <n v="3"/>
    <n v="80"/>
    <n v="1"/>
    <n v="2"/>
    <n v="3"/>
    <n v="2"/>
    <n v="2"/>
    <n v="2"/>
    <n v="2"/>
  </r>
  <r>
    <s v="No"/>
    <s v="Travel_Frequently"/>
    <x v="2"/>
    <s v="Current Employees"/>
    <x v="1"/>
    <x v="0"/>
    <s v="STAFF-1235"/>
    <x v="881"/>
    <x v="0"/>
    <x v="1"/>
    <x v="0"/>
    <s v="Yes"/>
    <s v="Y"/>
    <n v="2"/>
    <n v="-2"/>
    <n v="0"/>
    <x v="5"/>
    <n v="0"/>
    <m/>
    <n v="0"/>
    <n v="1"/>
    <n v="1316"/>
    <n v="2"/>
    <x v="0"/>
    <n v="1"/>
    <n v="4"/>
    <n v="38"/>
    <n v="3"/>
    <n v="2"/>
    <n v="1"/>
    <n v="4998"/>
    <n v="2338"/>
    <n v="4"/>
    <n v="14"/>
    <n v="3"/>
    <n v="4"/>
    <n v="80"/>
    <n v="0"/>
    <n v="10"/>
    <n v="3"/>
    <n v="8"/>
    <n v="7"/>
    <n v="0"/>
    <n v="7"/>
  </r>
  <r>
    <s v="No"/>
    <s v="Travel_Rarely"/>
    <x v="0"/>
    <s v="Current Employees"/>
    <x v="1"/>
    <x v="4"/>
    <s v="STAFF-1237"/>
    <x v="882"/>
    <x v="0"/>
    <x v="3"/>
    <x v="2"/>
    <s v="Yes"/>
    <s v="Y"/>
    <n v="2"/>
    <n v="-2"/>
    <n v="0"/>
    <x v="9"/>
    <n v="0"/>
    <m/>
    <n v="0"/>
    <n v="1"/>
    <n v="363"/>
    <n v="1"/>
    <x v="3"/>
    <n v="1"/>
    <n v="4"/>
    <n v="77"/>
    <n v="1"/>
    <n v="3"/>
    <n v="4"/>
    <n v="10252"/>
    <n v="4235"/>
    <n v="2"/>
    <n v="21"/>
    <n v="4"/>
    <n v="3"/>
    <n v="80"/>
    <n v="1"/>
    <n v="17"/>
    <n v="3"/>
    <n v="7"/>
    <n v="7"/>
    <n v="7"/>
    <n v="7"/>
  </r>
  <r>
    <s v="No"/>
    <s v="Travel_Rarely"/>
    <x v="2"/>
    <s v="Current Employees"/>
    <x v="1"/>
    <x v="2"/>
    <s v="STAFF-1238"/>
    <x v="883"/>
    <x v="1"/>
    <x v="1"/>
    <x v="1"/>
    <s v="No"/>
    <s v="Y"/>
    <n v="5"/>
    <n v="-2"/>
    <n v="0"/>
    <x v="3"/>
    <n v="0"/>
    <m/>
    <n v="0"/>
    <n v="1"/>
    <n v="117"/>
    <n v="9"/>
    <x v="3"/>
    <n v="1"/>
    <n v="1"/>
    <n v="60"/>
    <n v="3"/>
    <n v="1"/>
    <n v="4"/>
    <n v="2781"/>
    <n v="6311"/>
    <n v="0"/>
    <n v="13"/>
    <n v="3"/>
    <n v="2"/>
    <n v="80"/>
    <n v="1"/>
    <n v="15"/>
    <n v="3"/>
    <n v="14"/>
    <n v="10"/>
    <n v="4"/>
    <n v="10"/>
  </r>
  <r>
    <s v="No"/>
    <s v="Travel_Rarely"/>
    <x v="0"/>
    <s v="Current Employees"/>
    <x v="0"/>
    <x v="4"/>
    <s v="STAFF-1239"/>
    <x v="884"/>
    <x v="0"/>
    <x v="0"/>
    <x v="2"/>
    <s v="No"/>
    <s v="Y"/>
    <n v="2"/>
    <n v="-2"/>
    <n v="0"/>
    <x v="32"/>
    <n v="0"/>
    <m/>
    <n v="0"/>
    <n v="1"/>
    <n v="107"/>
    <n v="10"/>
    <x v="3"/>
    <n v="1"/>
    <n v="4"/>
    <n v="84"/>
    <n v="2"/>
    <n v="2"/>
    <n v="4"/>
    <n v="6852"/>
    <n v="11591"/>
    <n v="7"/>
    <n v="12"/>
    <n v="3"/>
    <n v="2"/>
    <n v="80"/>
    <n v="1"/>
    <n v="7"/>
    <n v="4"/>
    <n v="5"/>
    <n v="1"/>
    <n v="1"/>
    <n v="3"/>
  </r>
  <r>
    <s v="No"/>
    <s v="Travel_Rarely"/>
    <x v="2"/>
    <s v="Current Employees"/>
    <x v="0"/>
    <x v="0"/>
    <s v="STAFF-1240"/>
    <x v="885"/>
    <x v="1"/>
    <x v="0"/>
    <x v="0"/>
    <s v="No"/>
    <s v="Y"/>
    <n v="4"/>
    <n v="-2"/>
    <n v="0"/>
    <x v="36"/>
    <n v="0"/>
    <m/>
    <n v="0"/>
    <n v="1"/>
    <n v="1356"/>
    <n v="10"/>
    <x v="2"/>
    <n v="1"/>
    <n v="3"/>
    <n v="57"/>
    <n v="3"/>
    <n v="2"/>
    <n v="1"/>
    <n v="4950"/>
    <n v="20623"/>
    <n v="0"/>
    <n v="14"/>
    <n v="3"/>
    <n v="2"/>
    <n v="80"/>
    <n v="0"/>
    <n v="5"/>
    <n v="3"/>
    <n v="4"/>
    <n v="3"/>
    <n v="1"/>
    <n v="1"/>
  </r>
  <r>
    <s v="No"/>
    <s v="Travel_Rarely"/>
    <x v="2"/>
    <s v="Current Employees"/>
    <x v="1"/>
    <x v="2"/>
    <s v="STAFF-1241"/>
    <x v="886"/>
    <x v="1"/>
    <x v="1"/>
    <x v="1"/>
    <s v="Yes"/>
    <s v="Y"/>
    <n v="2"/>
    <n v="-2"/>
    <n v="0"/>
    <x v="7"/>
    <n v="0"/>
    <m/>
    <n v="0"/>
    <n v="1"/>
    <n v="1465"/>
    <n v="1"/>
    <x v="3"/>
    <n v="1"/>
    <n v="4"/>
    <n v="63"/>
    <n v="3"/>
    <n v="1"/>
    <n v="2"/>
    <n v="3579"/>
    <n v="9369"/>
    <n v="0"/>
    <n v="21"/>
    <n v="4"/>
    <n v="1"/>
    <n v="80"/>
    <n v="1"/>
    <n v="12"/>
    <n v="3"/>
    <n v="11"/>
    <n v="9"/>
    <n v="5"/>
    <n v="7"/>
  </r>
  <r>
    <s v="No"/>
    <s v="Travel_Frequently"/>
    <x v="0"/>
    <s v="Current Employees"/>
    <x v="1"/>
    <x v="2"/>
    <s v="STAFF-1242"/>
    <x v="887"/>
    <x v="0"/>
    <x v="7"/>
    <x v="1"/>
    <s v="Yes"/>
    <s v="Y"/>
    <n v="6"/>
    <n v="-2"/>
    <n v="0"/>
    <x v="19"/>
    <n v="0"/>
    <m/>
    <n v="0"/>
    <n v="1"/>
    <n v="458"/>
    <n v="26"/>
    <x v="4"/>
    <n v="1"/>
    <n v="1"/>
    <n v="60"/>
    <n v="3"/>
    <n v="3"/>
    <n v="3"/>
    <n v="13191"/>
    <n v="23281"/>
    <n v="3"/>
    <n v="17"/>
    <n v="3"/>
    <n v="3"/>
    <n v="80"/>
    <n v="0"/>
    <n v="20"/>
    <n v="3"/>
    <n v="1"/>
    <n v="0"/>
    <n v="0"/>
    <n v="0"/>
  </r>
  <r>
    <s v="No"/>
    <s v="Non-Travel"/>
    <x v="0"/>
    <s v="Current Employees"/>
    <x v="0"/>
    <x v="3"/>
    <s v="STAFF-1243"/>
    <x v="888"/>
    <x v="0"/>
    <x v="0"/>
    <x v="1"/>
    <s v="Yes"/>
    <s v="Y"/>
    <n v="6"/>
    <n v="-2"/>
    <n v="0"/>
    <x v="10"/>
    <n v="0"/>
    <m/>
    <n v="0"/>
    <n v="1"/>
    <n v="1212"/>
    <n v="8"/>
    <x v="0"/>
    <n v="1"/>
    <n v="3"/>
    <n v="78"/>
    <n v="2"/>
    <n v="3"/>
    <n v="2"/>
    <n v="10377"/>
    <n v="13755"/>
    <n v="4"/>
    <n v="11"/>
    <n v="3"/>
    <n v="2"/>
    <n v="80"/>
    <n v="1"/>
    <n v="16"/>
    <n v="2"/>
    <n v="13"/>
    <n v="2"/>
    <n v="4"/>
    <n v="12"/>
  </r>
  <r>
    <s v="No"/>
    <s v="Travel_Rarely"/>
    <x v="2"/>
    <s v="Current Employees"/>
    <x v="1"/>
    <x v="0"/>
    <s v="STAFF-1244"/>
    <x v="889"/>
    <x v="1"/>
    <x v="1"/>
    <x v="1"/>
    <s v="Yes"/>
    <s v="Y"/>
    <n v="3"/>
    <n v="-2"/>
    <n v="0"/>
    <x v="4"/>
    <n v="0"/>
    <m/>
    <n v="0"/>
    <n v="1"/>
    <n v="1103"/>
    <n v="14"/>
    <x v="3"/>
    <n v="1"/>
    <n v="1"/>
    <n v="42"/>
    <n v="3"/>
    <n v="1"/>
    <n v="1"/>
    <n v="2235"/>
    <n v="14377"/>
    <n v="1"/>
    <n v="14"/>
    <n v="3"/>
    <n v="4"/>
    <n v="80"/>
    <n v="2"/>
    <n v="9"/>
    <n v="2"/>
    <n v="9"/>
    <n v="7"/>
    <n v="6"/>
    <n v="8"/>
  </r>
  <r>
    <s v="No"/>
    <s v="Travel_Frequently"/>
    <x v="1"/>
    <s v="Current Employees"/>
    <x v="1"/>
    <x v="0"/>
    <s v="STAFF-1245"/>
    <x v="890"/>
    <x v="0"/>
    <x v="3"/>
    <x v="2"/>
    <s v="No"/>
    <s v="Y"/>
    <n v="2"/>
    <n v="-2"/>
    <n v="0"/>
    <x v="33"/>
    <n v="0"/>
    <m/>
    <n v="0"/>
    <n v="1"/>
    <n v="966"/>
    <n v="1"/>
    <x v="2"/>
    <n v="1"/>
    <n v="4"/>
    <n v="53"/>
    <n v="3"/>
    <n v="3"/>
    <n v="1"/>
    <n v="10502"/>
    <n v="9659"/>
    <n v="7"/>
    <n v="17"/>
    <n v="3"/>
    <n v="1"/>
    <n v="80"/>
    <n v="1"/>
    <n v="33"/>
    <n v="1"/>
    <n v="5"/>
    <n v="4"/>
    <n v="1"/>
    <n v="4"/>
  </r>
  <r>
    <s v="No"/>
    <s v="Travel_Rarely"/>
    <x v="0"/>
    <s v="Current Employees"/>
    <x v="1"/>
    <x v="0"/>
    <s v="STAFF-1246"/>
    <x v="891"/>
    <x v="0"/>
    <x v="1"/>
    <x v="1"/>
    <s v="No"/>
    <s v="Y"/>
    <n v="5"/>
    <n v="-2"/>
    <n v="0"/>
    <x v="20"/>
    <n v="0"/>
    <m/>
    <n v="0"/>
    <n v="1"/>
    <n v="1117"/>
    <n v="2"/>
    <x v="1"/>
    <n v="1"/>
    <n v="1"/>
    <n v="72"/>
    <n v="4"/>
    <n v="1"/>
    <n v="1"/>
    <n v="2011"/>
    <n v="19982"/>
    <n v="1"/>
    <n v="13"/>
    <n v="3"/>
    <n v="4"/>
    <n v="80"/>
    <n v="1"/>
    <n v="10"/>
    <n v="3"/>
    <n v="10"/>
    <n v="5"/>
    <n v="7"/>
    <n v="7"/>
  </r>
  <r>
    <s v="Yes"/>
    <s v="Non-Travel"/>
    <x v="4"/>
    <s v="Ex-Employees"/>
    <x v="1"/>
    <x v="2"/>
    <s v="STAFF-1248"/>
    <x v="892"/>
    <x v="0"/>
    <x v="1"/>
    <x v="0"/>
    <s v="Yes"/>
    <s v="Y"/>
    <n v="2"/>
    <n v="-2"/>
    <n v="0"/>
    <x v="37"/>
    <n v="1"/>
    <n v="1"/>
    <n v="1"/>
    <n v="0"/>
    <n v="504"/>
    <n v="10"/>
    <x v="3"/>
    <n v="1"/>
    <n v="1"/>
    <n v="96"/>
    <n v="2"/>
    <n v="1"/>
    <n v="2"/>
    <n v="1859"/>
    <n v="6148"/>
    <n v="1"/>
    <n v="25"/>
    <n v="4"/>
    <n v="2"/>
    <n v="80"/>
    <n v="0"/>
    <n v="1"/>
    <n v="4"/>
    <n v="1"/>
    <n v="1"/>
    <n v="0"/>
    <n v="0"/>
  </r>
  <r>
    <s v="No"/>
    <s v="Travel_Rarely"/>
    <x v="2"/>
    <s v="Current Employees"/>
    <x v="1"/>
    <x v="0"/>
    <s v="STAFF-1249"/>
    <x v="893"/>
    <x v="0"/>
    <x v="1"/>
    <x v="2"/>
    <s v="No"/>
    <s v="Y"/>
    <n v="5"/>
    <n v="-2"/>
    <n v="0"/>
    <x v="11"/>
    <n v="0"/>
    <m/>
    <n v="0"/>
    <n v="1"/>
    <n v="1010"/>
    <n v="1"/>
    <x v="3"/>
    <n v="1"/>
    <n v="1"/>
    <n v="97"/>
    <n v="3"/>
    <n v="1"/>
    <n v="1"/>
    <n v="3760"/>
    <n v="5598"/>
    <n v="1"/>
    <n v="15"/>
    <n v="3"/>
    <n v="1"/>
    <n v="80"/>
    <n v="3"/>
    <n v="3"/>
    <n v="3"/>
    <n v="3"/>
    <n v="2"/>
    <n v="1"/>
    <n v="2"/>
  </r>
  <r>
    <s v="No"/>
    <s v="Travel_Rarely"/>
    <x v="1"/>
    <s v="Current Employees"/>
    <x v="1"/>
    <x v="0"/>
    <s v="STAFF-1250"/>
    <x v="894"/>
    <x v="1"/>
    <x v="7"/>
    <x v="1"/>
    <s v="No"/>
    <s v="Y"/>
    <n v="2"/>
    <n v="-2"/>
    <n v="0"/>
    <x v="33"/>
    <n v="0"/>
    <m/>
    <n v="0"/>
    <n v="1"/>
    <n v="685"/>
    <n v="3"/>
    <x v="3"/>
    <n v="1"/>
    <n v="4"/>
    <n v="85"/>
    <n v="3"/>
    <n v="4"/>
    <n v="1"/>
    <n v="17779"/>
    <n v="23474"/>
    <n v="3"/>
    <n v="14"/>
    <n v="3"/>
    <n v="1"/>
    <n v="80"/>
    <n v="0"/>
    <n v="36"/>
    <n v="3"/>
    <n v="10"/>
    <n v="9"/>
    <n v="0"/>
    <n v="9"/>
  </r>
  <r>
    <s v="No"/>
    <s v="Travel_Rarely"/>
    <x v="2"/>
    <s v="Current Employees"/>
    <x v="1"/>
    <x v="2"/>
    <s v="STAFF-1251"/>
    <x v="895"/>
    <x v="1"/>
    <x v="4"/>
    <x v="1"/>
    <s v="Yes"/>
    <s v="Y"/>
    <n v="2"/>
    <n v="-2"/>
    <n v="0"/>
    <x v="12"/>
    <n v="0"/>
    <m/>
    <n v="0"/>
    <n v="1"/>
    <n v="1332"/>
    <n v="11"/>
    <x v="0"/>
    <n v="1"/>
    <n v="3"/>
    <n v="80"/>
    <n v="3"/>
    <n v="2"/>
    <n v="3"/>
    <n v="6833"/>
    <n v="17089"/>
    <n v="1"/>
    <n v="12"/>
    <n v="3"/>
    <n v="4"/>
    <n v="80"/>
    <n v="0"/>
    <n v="6"/>
    <n v="2"/>
    <n v="6"/>
    <n v="5"/>
    <n v="0"/>
    <n v="1"/>
  </r>
  <r>
    <s v="No"/>
    <s v="Travel_Rarely"/>
    <x v="2"/>
    <s v="Current Employees"/>
    <x v="1"/>
    <x v="2"/>
    <s v="STAFF-1252"/>
    <x v="896"/>
    <x v="0"/>
    <x v="4"/>
    <x v="0"/>
    <s v="No"/>
    <s v="Y"/>
    <n v="2"/>
    <n v="-2"/>
    <n v="0"/>
    <x v="12"/>
    <n v="0"/>
    <m/>
    <n v="0"/>
    <n v="1"/>
    <n v="1062"/>
    <n v="24"/>
    <x v="3"/>
    <n v="1"/>
    <n v="3"/>
    <n v="96"/>
    <n v="2"/>
    <n v="2"/>
    <n v="3"/>
    <n v="6812"/>
    <n v="17198"/>
    <n v="1"/>
    <n v="19"/>
    <n v="3"/>
    <n v="2"/>
    <n v="80"/>
    <n v="0"/>
    <n v="10"/>
    <n v="3"/>
    <n v="10"/>
    <n v="9"/>
    <n v="1"/>
    <n v="8"/>
  </r>
  <r>
    <s v="No"/>
    <s v="Travel_Rarely"/>
    <x v="3"/>
    <s v="Current Employees"/>
    <x v="0"/>
    <x v="0"/>
    <s v="STAFF-1254"/>
    <x v="897"/>
    <x v="0"/>
    <x v="0"/>
    <x v="0"/>
    <s v="No"/>
    <s v="Y"/>
    <n v="2"/>
    <n v="-2"/>
    <n v="0"/>
    <x v="6"/>
    <n v="0"/>
    <m/>
    <n v="0"/>
    <n v="1"/>
    <n v="326"/>
    <n v="3"/>
    <x v="3"/>
    <n v="1"/>
    <n v="3"/>
    <n v="48"/>
    <n v="2"/>
    <n v="2"/>
    <n v="1"/>
    <n v="5171"/>
    <n v="16490"/>
    <n v="5"/>
    <n v="17"/>
    <n v="3"/>
    <n v="4"/>
    <n v="80"/>
    <n v="0"/>
    <n v="13"/>
    <n v="3"/>
    <n v="6"/>
    <n v="1"/>
    <n v="0"/>
    <n v="5"/>
  </r>
  <r>
    <s v="No"/>
    <s v="Travel_Rarely"/>
    <x v="0"/>
    <s v="Current Employees"/>
    <x v="1"/>
    <x v="0"/>
    <s v="STAFF-1255"/>
    <x v="898"/>
    <x v="1"/>
    <x v="7"/>
    <x v="1"/>
    <s v="No"/>
    <s v="Y"/>
    <n v="2"/>
    <n v="-2"/>
    <n v="0"/>
    <x v="23"/>
    <n v="0"/>
    <m/>
    <n v="0"/>
    <n v="1"/>
    <n v="920"/>
    <n v="3"/>
    <x v="3"/>
    <n v="1"/>
    <n v="3"/>
    <n v="96"/>
    <n v="1"/>
    <n v="5"/>
    <n v="1"/>
    <n v="19740"/>
    <n v="18625"/>
    <n v="3"/>
    <n v="14"/>
    <n v="3"/>
    <n v="2"/>
    <n v="80"/>
    <n v="1"/>
    <n v="25"/>
    <n v="3"/>
    <n v="8"/>
    <n v="7"/>
    <n v="0"/>
    <n v="7"/>
  </r>
  <r>
    <s v="No"/>
    <s v="Travel_Rarely"/>
    <x v="1"/>
    <s v="Current Employees"/>
    <x v="1"/>
    <x v="2"/>
    <s v="STAFF-1256"/>
    <x v="899"/>
    <x v="1"/>
    <x v="5"/>
    <x v="1"/>
    <s v="No"/>
    <s v="Y"/>
    <n v="2"/>
    <n v="-2"/>
    <n v="0"/>
    <x v="1"/>
    <n v="0"/>
    <m/>
    <n v="0"/>
    <n v="1"/>
    <n v="1098"/>
    <n v="4"/>
    <x v="0"/>
    <n v="1"/>
    <n v="1"/>
    <n v="85"/>
    <n v="2"/>
    <n v="5"/>
    <n v="3"/>
    <n v="18711"/>
    <n v="12124"/>
    <n v="2"/>
    <n v="13"/>
    <n v="3"/>
    <n v="3"/>
    <n v="80"/>
    <n v="1"/>
    <n v="23"/>
    <n v="4"/>
    <n v="1"/>
    <n v="0"/>
    <n v="0"/>
    <n v="0"/>
  </r>
  <r>
    <s v="No"/>
    <s v="Travel_Frequently"/>
    <x v="0"/>
    <s v="Current Employees"/>
    <x v="1"/>
    <x v="4"/>
    <s v="STAFF-1257"/>
    <x v="900"/>
    <x v="1"/>
    <x v="1"/>
    <x v="1"/>
    <s v="No"/>
    <s v="Y"/>
    <n v="2"/>
    <n v="-2"/>
    <n v="0"/>
    <x v="9"/>
    <n v="0"/>
    <m/>
    <n v="0"/>
    <n v="1"/>
    <n v="469"/>
    <n v="3"/>
    <x v="3"/>
    <n v="1"/>
    <n v="4"/>
    <n v="46"/>
    <n v="3"/>
    <n v="1"/>
    <n v="4"/>
    <n v="3692"/>
    <n v="9256"/>
    <n v="1"/>
    <n v="12"/>
    <n v="3"/>
    <n v="3"/>
    <n v="80"/>
    <n v="0"/>
    <n v="12"/>
    <n v="2"/>
    <n v="11"/>
    <n v="10"/>
    <n v="0"/>
    <n v="7"/>
  </r>
  <r>
    <s v="No"/>
    <s v="Travel_Rarely"/>
    <x v="1"/>
    <s v="Current Employees"/>
    <x v="1"/>
    <x v="4"/>
    <s v="STAFF-1258"/>
    <x v="901"/>
    <x v="1"/>
    <x v="2"/>
    <x v="0"/>
    <s v="No"/>
    <s v="Y"/>
    <n v="4"/>
    <n v="-2"/>
    <n v="0"/>
    <x v="26"/>
    <n v="0"/>
    <m/>
    <n v="0"/>
    <n v="1"/>
    <n v="969"/>
    <n v="2"/>
    <x v="0"/>
    <n v="1"/>
    <n v="4"/>
    <n v="76"/>
    <n v="4"/>
    <n v="1"/>
    <n v="4"/>
    <n v="2559"/>
    <n v="16620"/>
    <n v="5"/>
    <n v="11"/>
    <n v="3"/>
    <n v="3"/>
    <n v="80"/>
    <n v="0"/>
    <n v="7"/>
    <n v="2"/>
    <n v="1"/>
    <n v="0"/>
    <n v="0"/>
    <n v="0"/>
  </r>
  <r>
    <s v="No"/>
    <s v="Travel_Rarely"/>
    <x v="2"/>
    <s v="Current Employees"/>
    <x v="1"/>
    <x v="0"/>
    <s v="STAFF-1259"/>
    <x v="902"/>
    <x v="1"/>
    <x v="1"/>
    <x v="2"/>
    <s v="No"/>
    <s v="Y"/>
    <n v="2"/>
    <n v="-2"/>
    <n v="0"/>
    <x v="4"/>
    <n v="0"/>
    <m/>
    <n v="0"/>
    <n v="1"/>
    <n v="1167"/>
    <n v="4"/>
    <x v="0"/>
    <n v="1"/>
    <n v="1"/>
    <n v="76"/>
    <n v="3"/>
    <n v="1"/>
    <n v="1"/>
    <n v="2517"/>
    <n v="3208"/>
    <n v="1"/>
    <n v="11"/>
    <n v="3"/>
    <n v="2"/>
    <n v="80"/>
    <n v="3"/>
    <n v="5"/>
    <n v="3"/>
    <n v="5"/>
    <n v="3"/>
    <n v="0"/>
    <n v="3"/>
  </r>
  <r>
    <s v="No"/>
    <s v="Travel_Rarely"/>
    <x v="2"/>
    <s v="Current Employees"/>
    <x v="1"/>
    <x v="0"/>
    <s v="STAFF-1260"/>
    <x v="903"/>
    <x v="1"/>
    <x v="4"/>
    <x v="2"/>
    <s v="Yes"/>
    <s v="Y"/>
    <n v="2"/>
    <n v="-2"/>
    <n v="0"/>
    <x v="11"/>
    <n v="0"/>
    <m/>
    <n v="0"/>
    <n v="1"/>
    <n v="1329"/>
    <n v="7"/>
    <x v="3"/>
    <n v="1"/>
    <n v="3"/>
    <n v="82"/>
    <n v="3"/>
    <n v="2"/>
    <n v="1"/>
    <n v="6623"/>
    <n v="4204"/>
    <n v="1"/>
    <n v="11"/>
    <n v="3"/>
    <n v="2"/>
    <n v="80"/>
    <n v="2"/>
    <n v="6"/>
    <n v="3"/>
    <n v="6"/>
    <n v="0"/>
    <n v="1"/>
    <n v="0"/>
  </r>
  <r>
    <s v="No"/>
    <s v="Travel_Rarely"/>
    <x v="1"/>
    <s v="Current Employees"/>
    <x v="1"/>
    <x v="0"/>
    <s v="STAFF-1263"/>
    <x v="904"/>
    <x v="1"/>
    <x v="7"/>
    <x v="0"/>
    <s v="No"/>
    <s v="Y"/>
    <n v="3"/>
    <n v="-2"/>
    <n v="0"/>
    <x v="26"/>
    <n v="0"/>
    <m/>
    <n v="0"/>
    <n v="1"/>
    <n v="715"/>
    <n v="1"/>
    <x v="3"/>
    <n v="1"/>
    <n v="4"/>
    <n v="76"/>
    <n v="2"/>
    <n v="5"/>
    <n v="1"/>
    <n v="18265"/>
    <n v="8733"/>
    <n v="6"/>
    <n v="12"/>
    <n v="3"/>
    <n v="3"/>
    <n v="80"/>
    <n v="0"/>
    <n v="25"/>
    <n v="4"/>
    <n v="1"/>
    <n v="0"/>
    <n v="0"/>
    <n v="0"/>
  </r>
  <r>
    <s v="No"/>
    <s v="Travel_Rarely"/>
    <x v="2"/>
    <s v="Current Employees"/>
    <x v="1"/>
    <x v="0"/>
    <s v="STAFF-1264"/>
    <x v="905"/>
    <x v="0"/>
    <x v="7"/>
    <x v="2"/>
    <s v="No"/>
    <s v="Y"/>
    <n v="2"/>
    <n v="-2"/>
    <n v="0"/>
    <x v="11"/>
    <n v="0"/>
    <m/>
    <n v="0"/>
    <n v="1"/>
    <n v="694"/>
    <n v="1"/>
    <x v="3"/>
    <n v="1"/>
    <n v="4"/>
    <n v="87"/>
    <n v="2"/>
    <n v="4"/>
    <n v="1"/>
    <n v="16124"/>
    <n v="3423"/>
    <n v="3"/>
    <n v="14"/>
    <n v="3"/>
    <n v="2"/>
    <n v="80"/>
    <n v="2"/>
    <n v="9"/>
    <n v="2"/>
    <n v="7"/>
    <n v="7"/>
    <n v="1"/>
    <n v="7"/>
  </r>
  <r>
    <s v="No"/>
    <s v="Travel_Rarely"/>
    <x v="2"/>
    <s v="Current Employees"/>
    <x v="1"/>
    <x v="4"/>
    <s v="STAFF-1265"/>
    <x v="906"/>
    <x v="0"/>
    <x v="1"/>
    <x v="1"/>
    <s v="No"/>
    <s v="Y"/>
    <n v="5"/>
    <n v="-2"/>
    <n v="0"/>
    <x v="13"/>
    <n v="0"/>
    <m/>
    <n v="0"/>
    <n v="1"/>
    <n v="1320"/>
    <n v="20"/>
    <x v="3"/>
    <n v="1"/>
    <n v="4"/>
    <n v="89"/>
    <n v="4"/>
    <n v="1"/>
    <n v="4"/>
    <n v="2585"/>
    <n v="21643"/>
    <n v="0"/>
    <n v="17"/>
    <n v="3"/>
    <n v="4"/>
    <n v="80"/>
    <n v="0"/>
    <n v="2"/>
    <n v="2"/>
    <n v="1"/>
    <n v="0"/>
    <n v="0"/>
    <n v="0"/>
  </r>
  <r>
    <s v="No"/>
    <s v="Travel_Rarely"/>
    <x v="0"/>
    <s v="Current Employees"/>
    <x v="0"/>
    <x v="3"/>
    <s v="STAFF-1267"/>
    <x v="907"/>
    <x v="1"/>
    <x v="5"/>
    <x v="1"/>
    <s v="No"/>
    <s v="Y"/>
    <n v="5"/>
    <n v="-2"/>
    <n v="0"/>
    <x v="20"/>
    <n v="0"/>
    <m/>
    <n v="0"/>
    <n v="1"/>
    <n v="1099"/>
    <n v="5"/>
    <x v="3"/>
    <n v="1"/>
    <n v="2"/>
    <n v="88"/>
    <n v="3"/>
    <n v="5"/>
    <n v="2"/>
    <n v="18213"/>
    <n v="8751"/>
    <n v="7"/>
    <n v="11"/>
    <n v="3"/>
    <n v="3"/>
    <n v="80"/>
    <n v="1"/>
    <n v="26"/>
    <n v="3"/>
    <n v="22"/>
    <n v="9"/>
    <n v="3"/>
    <n v="10"/>
  </r>
  <r>
    <s v="No"/>
    <s v="Travel_Rarely"/>
    <x v="2"/>
    <s v="Current Employees"/>
    <x v="0"/>
    <x v="3"/>
    <s v="STAFF-1268"/>
    <x v="908"/>
    <x v="1"/>
    <x v="0"/>
    <x v="2"/>
    <s v="Yes"/>
    <s v="Y"/>
    <n v="3"/>
    <n v="-2"/>
    <n v="0"/>
    <x v="3"/>
    <n v="0"/>
    <m/>
    <n v="0"/>
    <n v="1"/>
    <n v="536"/>
    <n v="10"/>
    <x v="4"/>
    <n v="1"/>
    <n v="4"/>
    <n v="82"/>
    <n v="4"/>
    <n v="3"/>
    <n v="2"/>
    <n v="8380"/>
    <n v="21708"/>
    <n v="0"/>
    <n v="14"/>
    <n v="3"/>
    <n v="4"/>
    <n v="80"/>
    <n v="2"/>
    <n v="10"/>
    <n v="3"/>
    <n v="9"/>
    <n v="8"/>
    <n v="0"/>
    <n v="8"/>
  </r>
  <r>
    <s v="No"/>
    <s v="Travel_Rarely"/>
    <x v="4"/>
    <s v="Current Employees"/>
    <x v="1"/>
    <x v="0"/>
    <s v="STAFF-1269"/>
    <x v="909"/>
    <x v="0"/>
    <x v="1"/>
    <x v="0"/>
    <s v="Yes"/>
    <s v="Y"/>
    <n v="2"/>
    <n v="-2"/>
    <n v="0"/>
    <x v="37"/>
    <n v="0"/>
    <m/>
    <n v="0"/>
    <n v="1"/>
    <n v="265"/>
    <n v="25"/>
    <x v="3"/>
    <n v="1"/>
    <n v="2"/>
    <n v="57"/>
    <n v="4"/>
    <n v="1"/>
    <n v="1"/>
    <n v="2994"/>
    <n v="21221"/>
    <n v="1"/>
    <n v="12"/>
    <n v="3"/>
    <n v="4"/>
    <n v="80"/>
    <n v="0"/>
    <n v="1"/>
    <n v="3"/>
    <n v="1"/>
    <n v="0"/>
    <n v="0"/>
    <n v="1"/>
  </r>
  <r>
    <s v="No"/>
    <s v="Travel_Rarely"/>
    <x v="4"/>
    <s v="Current Employees"/>
    <x v="1"/>
    <x v="0"/>
    <s v="STAFF-1270"/>
    <x v="910"/>
    <x v="1"/>
    <x v="1"/>
    <x v="1"/>
    <s v="No"/>
    <s v="Y"/>
    <n v="2"/>
    <n v="-2"/>
    <n v="0"/>
    <x v="30"/>
    <n v="0"/>
    <m/>
    <n v="0"/>
    <n v="1"/>
    <n v="373"/>
    <n v="1"/>
    <x v="0"/>
    <n v="1"/>
    <n v="4"/>
    <n v="47"/>
    <n v="3"/>
    <n v="1"/>
    <n v="1"/>
    <n v="1223"/>
    <n v="16901"/>
    <n v="1"/>
    <n v="22"/>
    <n v="4"/>
    <n v="4"/>
    <n v="80"/>
    <n v="1"/>
    <n v="1"/>
    <n v="3"/>
    <n v="1"/>
    <n v="0"/>
    <n v="0"/>
    <n v="1"/>
  </r>
  <r>
    <s v="Yes"/>
    <s v="Travel_Frequently"/>
    <x v="2"/>
    <s v="Ex-Employees"/>
    <x v="0"/>
    <x v="0"/>
    <s v="STAFF-1273"/>
    <x v="911"/>
    <x v="1"/>
    <x v="6"/>
    <x v="0"/>
    <s v="Yes"/>
    <s v="Y"/>
    <n v="4"/>
    <n v="-2"/>
    <n v="0"/>
    <x v="36"/>
    <n v="1"/>
    <n v="1"/>
    <n v="1"/>
    <n v="0"/>
    <n v="599"/>
    <n v="24"/>
    <x v="1"/>
    <n v="1"/>
    <n v="3"/>
    <n v="73"/>
    <n v="1"/>
    <n v="1"/>
    <n v="1"/>
    <n v="1118"/>
    <n v="8040"/>
    <n v="1"/>
    <n v="14"/>
    <n v="3"/>
    <n v="4"/>
    <n v="80"/>
    <n v="0"/>
    <n v="1"/>
    <n v="3"/>
    <n v="1"/>
    <n v="0"/>
    <n v="1"/>
    <n v="0"/>
  </r>
  <r>
    <s v="No"/>
    <s v="Travel_Rarely"/>
    <x v="2"/>
    <s v="Current Employees"/>
    <x v="1"/>
    <x v="0"/>
    <s v="STAFF-1275"/>
    <x v="912"/>
    <x v="1"/>
    <x v="1"/>
    <x v="0"/>
    <s v="Yes"/>
    <s v="Y"/>
    <n v="2"/>
    <n v="-2"/>
    <n v="0"/>
    <x v="25"/>
    <n v="0"/>
    <m/>
    <n v="0"/>
    <n v="1"/>
    <n v="583"/>
    <n v="4"/>
    <x v="0"/>
    <n v="1"/>
    <n v="3"/>
    <n v="53"/>
    <n v="3"/>
    <n v="1"/>
    <n v="1"/>
    <n v="2875"/>
    <n v="9973"/>
    <n v="1"/>
    <n v="20"/>
    <n v="4"/>
    <n v="2"/>
    <n v="80"/>
    <n v="0"/>
    <n v="8"/>
    <n v="2"/>
    <n v="8"/>
    <n v="5"/>
    <n v="2"/>
    <n v="2"/>
  </r>
  <r>
    <s v="Yes"/>
    <s v="Travel_Rarely"/>
    <x v="1"/>
    <s v="Ex-Employees"/>
    <x v="0"/>
    <x v="3"/>
    <s v="STAFF-1277"/>
    <x v="913"/>
    <x v="0"/>
    <x v="5"/>
    <x v="0"/>
    <s v="Yes"/>
    <s v="Y"/>
    <n v="2"/>
    <n v="-2"/>
    <n v="0"/>
    <x v="28"/>
    <n v="1"/>
    <n v="1"/>
    <n v="1"/>
    <n v="0"/>
    <n v="1449"/>
    <n v="2"/>
    <x v="3"/>
    <n v="1"/>
    <n v="1"/>
    <n v="94"/>
    <n v="1"/>
    <n v="5"/>
    <n v="2"/>
    <n v="18824"/>
    <n v="2493"/>
    <n v="2"/>
    <n v="16"/>
    <n v="3"/>
    <n v="1"/>
    <n v="80"/>
    <n v="0"/>
    <n v="26"/>
    <n v="3"/>
    <n v="24"/>
    <n v="10"/>
    <n v="1"/>
    <n v="11"/>
  </r>
  <r>
    <s v="No"/>
    <s v="Non-Travel"/>
    <x v="3"/>
    <s v="Current Employees"/>
    <x v="1"/>
    <x v="2"/>
    <s v="STAFF-1278"/>
    <x v="914"/>
    <x v="1"/>
    <x v="4"/>
    <x v="2"/>
    <s v="Yes"/>
    <s v="Y"/>
    <n v="3"/>
    <n v="-2"/>
    <n v="0"/>
    <x v="27"/>
    <n v="0"/>
    <m/>
    <n v="0"/>
    <n v="1"/>
    <n v="177"/>
    <n v="8"/>
    <x v="1"/>
    <n v="1"/>
    <n v="4"/>
    <n v="37"/>
    <n v="2"/>
    <n v="4"/>
    <n v="2"/>
    <n v="13577"/>
    <n v="25592"/>
    <n v="1"/>
    <n v="15"/>
    <n v="3"/>
    <n v="4"/>
    <n v="80"/>
    <n v="1"/>
    <n v="34"/>
    <n v="3"/>
    <n v="33"/>
    <n v="9"/>
    <n v="15"/>
    <n v="0"/>
  </r>
  <r>
    <s v="Yes"/>
    <s v="Travel_Frequently"/>
    <x v="4"/>
    <s v="Ex-Employees"/>
    <x v="1"/>
    <x v="0"/>
    <s v="STAFF-1279"/>
    <x v="915"/>
    <x v="0"/>
    <x v="2"/>
    <x v="0"/>
    <s v="No"/>
    <s v="Y"/>
    <n v="2"/>
    <n v="-2"/>
    <n v="0"/>
    <x v="18"/>
    <n v="1"/>
    <n v="1"/>
    <n v="1"/>
    <n v="0"/>
    <n v="251"/>
    <n v="10"/>
    <x v="0"/>
    <n v="1"/>
    <n v="1"/>
    <n v="45"/>
    <n v="2"/>
    <n v="1"/>
    <n v="1"/>
    <n v="2625"/>
    <n v="25308"/>
    <n v="1"/>
    <n v="20"/>
    <n v="4"/>
    <n v="3"/>
    <n v="80"/>
    <n v="0"/>
    <n v="2"/>
    <n v="1"/>
    <n v="2"/>
    <n v="2"/>
    <n v="2"/>
    <n v="2"/>
  </r>
  <r>
    <s v="No"/>
    <s v="Travel_Rarely"/>
    <x v="1"/>
    <s v="Current Employees"/>
    <x v="0"/>
    <x v="3"/>
    <s v="STAFF-1280"/>
    <x v="916"/>
    <x v="0"/>
    <x v="5"/>
    <x v="1"/>
    <s v="No"/>
    <s v="Y"/>
    <n v="2"/>
    <n v="-2"/>
    <n v="0"/>
    <x v="21"/>
    <n v="0"/>
    <m/>
    <n v="0"/>
    <n v="1"/>
    <n v="168"/>
    <n v="4"/>
    <x v="0"/>
    <n v="1"/>
    <n v="4"/>
    <n v="33"/>
    <n v="2"/>
    <n v="5"/>
    <n v="2"/>
    <n v="18789"/>
    <n v="9946"/>
    <n v="2"/>
    <n v="14"/>
    <n v="3"/>
    <n v="3"/>
    <n v="80"/>
    <n v="1"/>
    <n v="26"/>
    <n v="3"/>
    <n v="11"/>
    <n v="4"/>
    <n v="0"/>
    <n v="8"/>
  </r>
  <r>
    <s v="No"/>
    <s v="Travel_Rarely"/>
    <x v="2"/>
    <s v="Current Employees"/>
    <x v="0"/>
    <x v="3"/>
    <s v="STAFF-1281"/>
    <x v="917"/>
    <x v="0"/>
    <x v="0"/>
    <x v="0"/>
    <s v="Yes"/>
    <s v="Y"/>
    <n v="3"/>
    <n v="-2"/>
    <n v="0"/>
    <x v="13"/>
    <n v="0"/>
    <m/>
    <n v="0"/>
    <n v="1"/>
    <n v="131"/>
    <n v="2"/>
    <x v="3"/>
    <n v="1"/>
    <n v="3"/>
    <n v="86"/>
    <n v="3"/>
    <n v="2"/>
    <n v="2"/>
    <n v="4538"/>
    <n v="6039"/>
    <n v="0"/>
    <n v="12"/>
    <n v="3"/>
    <n v="4"/>
    <n v="80"/>
    <n v="0"/>
    <n v="4"/>
    <n v="3"/>
    <n v="3"/>
    <n v="2"/>
    <n v="0"/>
    <n v="2"/>
  </r>
  <r>
    <s v="No"/>
    <s v="Travel_Frequently"/>
    <x v="1"/>
    <s v="Current Employees"/>
    <x v="0"/>
    <x v="0"/>
    <s v="STAFF-1282"/>
    <x v="918"/>
    <x v="1"/>
    <x v="5"/>
    <x v="2"/>
    <s v="Yes"/>
    <s v="Y"/>
    <n v="5"/>
    <n v="-2"/>
    <n v="0"/>
    <x v="31"/>
    <n v="0"/>
    <m/>
    <n v="0"/>
    <n v="1"/>
    <n v="237"/>
    <n v="9"/>
    <x v="3"/>
    <n v="1"/>
    <n v="4"/>
    <n v="83"/>
    <n v="3"/>
    <n v="5"/>
    <n v="1"/>
    <n v="19847"/>
    <n v="19196"/>
    <n v="4"/>
    <n v="24"/>
    <n v="4"/>
    <n v="1"/>
    <n v="80"/>
    <n v="1"/>
    <n v="31"/>
    <n v="2"/>
    <n v="29"/>
    <n v="10"/>
    <n v="11"/>
    <n v="10"/>
  </r>
  <r>
    <s v="No"/>
    <s v="Travel_Rarely"/>
    <x v="3"/>
    <s v="Current Employees"/>
    <x v="1"/>
    <x v="2"/>
    <s v="STAFF-1283"/>
    <x v="919"/>
    <x v="1"/>
    <x v="3"/>
    <x v="0"/>
    <s v="No"/>
    <s v="Y"/>
    <n v="6"/>
    <n v="-2"/>
    <n v="0"/>
    <x v="6"/>
    <n v="0"/>
    <m/>
    <n v="0"/>
    <n v="1"/>
    <n v="1429"/>
    <n v="18"/>
    <x v="2"/>
    <n v="1"/>
    <n v="4"/>
    <n v="67"/>
    <n v="3"/>
    <n v="3"/>
    <n v="4"/>
    <n v="10512"/>
    <n v="20002"/>
    <n v="6"/>
    <n v="12"/>
    <n v="3"/>
    <n v="4"/>
    <n v="80"/>
    <n v="0"/>
    <n v="25"/>
    <n v="2"/>
    <n v="9"/>
    <n v="7"/>
    <n v="5"/>
    <n v="4"/>
  </r>
  <r>
    <s v="No"/>
    <s v="Travel_Frequently"/>
    <x v="2"/>
    <s v="Current Employees"/>
    <x v="1"/>
    <x v="2"/>
    <s v="STAFF-1285"/>
    <x v="920"/>
    <x v="0"/>
    <x v="2"/>
    <x v="2"/>
    <s v="No"/>
    <s v="Y"/>
    <n v="2"/>
    <n v="-2"/>
    <n v="0"/>
    <x v="13"/>
    <n v="0"/>
    <m/>
    <n v="0"/>
    <n v="1"/>
    <n v="135"/>
    <n v="19"/>
    <x v="3"/>
    <n v="1"/>
    <n v="3"/>
    <n v="46"/>
    <n v="3"/>
    <n v="2"/>
    <n v="2"/>
    <n v="4444"/>
    <n v="22534"/>
    <n v="4"/>
    <n v="13"/>
    <n v="3"/>
    <n v="3"/>
    <n v="80"/>
    <n v="2"/>
    <n v="15"/>
    <n v="4"/>
    <n v="11"/>
    <n v="8"/>
    <n v="5"/>
    <n v="10"/>
  </r>
  <r>
    <s v="No"/>
    <s v="Travel_Frequently"/>
    <x v="2"/>
    <s v="Current Employees"/>
    <x v="1"/>
    <x v="2"/>
    <s v="STAFF-1286"/>
    <x v="921"/>
    <x v="1"/>
    <x v="2"/>
    <x v="0"/>
    <s v="Yes"/>
    <s v="Y"/>
    <n v="2"/>
    <n v="-2"/>
    <n v="0"/>
    <x v="14"/>
    <n v="0"/>
    <m/>
    <n v="0"/>
    <n v="1"/>
    <n v="791"/>
    <n v="1"/>
    <x v="2"/>
    <n v="1"/>
    <n v="4"/>
    <n v="44"/>
    <n v="3"/>
    <n v="1"/>
    <n v="3"/>
    <n v="2154"/>
    <n v="6842"/>
    <n v="0"/>
    <n v="11"/>
    <n v="3"/>
    <n v="3"/>
    <n v="80"/>
    <n v="0"/>
    <n v="5"/>
    <n v="2"/>
    <n v="4"/>
    <n v="2"/>
    <n v="0"/>
    <n v="2"/>
  </r>
  <r>
    <s v="No"/>
    <s v="Travel_Rarely"/>
    <x v="0"/>
    <s v="Current Employees"/>
    <x v="1"/>
    <x v="0"/>
    <s v="STAFF-1288"/>
    <x v="922"/>
    <x v="1"/>
    <x v="5"/>
    <x v="2"/>
    <s v="No"/>
    <s v="Y"/>
    <n v="4"/>
    <n v="-2"/>
    <n v="0"/>
    <x v="20"/>
    <n v="0"/>
    <m/>
    <n v="0"/>
    <n v="1"/>
    <n v="1199"/>
    <n v="4"/>
    <x v="0"/>
    <n v="1"/>
    <n v="3"/>
    <n v="92"/>
    <n v="4"/>
    <n v="5"/>
    <n v="3"/>
    <n v="19190"/>
    <n v="17477"/>
    <n v="1"/>
    <n v="14"/>
    <n v="3"/>
    <n v="4"/>
    <n v="80"/>
    <n v="2"/>
    <n v="26"/>
    <n v="2"/>
    <n v="25"/>
    <n v="9"/>
    <n v="14"/>
    <n v="13"/>
  </r>
  <r>
    <s v="No"/>
    <s v="Travel_Frequently"/>
    <x v="2"/>
    <s v="Current Employees"/>
    <x v="2"/>
    <x v="0"/>
    <s v="STAFF-1289"/>
    <x v="923"/>
    <x v="1"/>
    <x v="8"/>
    <x v="1"/>
    <s v="No"/>
    <s v="Y"/>
    <n v="5"/>
    <n v="-2"/>
    <n v="0"/>
    <x v="13"/>
    <n v="0"/>
    <m/>
    <n v="0"/>
    <n v="1"/>
    <n v="648"/>
    <n v="11"/>
    <x v="3"/>
    <n v="1"/>
    <n v="3"/>
    <n v="56"/>
    <n v="2"/>
    <n v="2"/>
    <n v="2"/>
    <n v="4490"/>
    <n v="21833"/>
    <n v="4"/>
    <n v="11"/>
    <n v="3"/>
    <n v="4"/>
    <n v="80"/>
    <n v="2"/>
    <n v="14"/>
    <n v="4"/>
    <n v="10"/>
    <n v="9"/>
    <n v="1"/>
    <n v="8"/>
  </r>
  <r>
    <s v="No"/>
    <s v="Travel_Rarely"/>
    <x v="0"/>
    <s v="Current Employees"/>
    <x v="1"/>
    <x v="0"/>
    <s v="STAFF-1291"/>
    <x v="924"/>
    <x v="1"/>
    <x v="1"/>
    <x v="1"/>
    <s v="Yes"/>
    <s v="Y"/>
    <n v="3"/>
    <n v="-2"/>
    <n v="0"/>
    <x v="10"/>
    <n v="0"/>
    <m/>
    <n v="0"/>
    <n v="1"/>
    <n v="735"/>
    <n v="6"/>
    <x v="1"/>
    <n v="1"/>
    <n v="3"/>
    <n v="66"/>
    <n v="3"/>
    <n v="1"/>
    <n v="3"/>
    <n v="3506"/>
    <n v="6020"/>
    <n v="0"/>
    <n v="14"/>
    <n v="3"/>
    <n v="4"/>
    <n v="80"/>
    <n v="0"/>
    <n v="4"/>
    <n v="3"/>
    <n v="3"/>
    <n v="2"/>
    <n v="2"/>
    <n v="2"/>
  </r>
  <r>
    <s v="No"/>
    <s v="Travel_Rarely"/>
    <x v="0"/>
    <s v="Current Employees"/>
    <x v="1"/>
    <x v="2"/>
    <s v="STAFF-1292"/>
    <x v="925"/>
    <x v="0"/>
    <x v="1"/>
    <x v="1"/>
    <s v="Yes"/>
    <s v="Y"/>
    <n v="2"/>
    <n v="-2"/>
    <n v="0"/>
    <x v="19"/>
    <n v="0"/>
    <m/>
    <n v="0"/>
    <n v="1"/>
    <n v="603"/>
    <n v="7"/>
    <x v="2"/>
    <n v="1"/>
    <n v="2"/>
    <n v="78"/>
    <n v="4"/>
    <n v="2"/>
    <n v="2"/>
    <n v="2372"/>
    <n v="5628"/>
    <n v="6"/>
    <n v="16"/>
    <n v="3"/>
    <n v="4"/>
    <n v="80"/>
    <n v="0"/>
    <n v="18"/>
    <n v="3"/>
    <n v="1"/>
    <n v="0"/>
    <n v="0"/>
    <n v="0"/>
  </r>
  <r>
    <s v="No"/>
    <s v="Travel_Rarely"/>
    <x v="0"/>
    <s v="Current Employees"/>
    <x v="0"/>
    <x v="3"/>
    <s v="STAFF-1293"/>
    <x v="926"/>
    <x v="0"/>
    <x v="0"/>
    <x v="0"/>
    <s v="No"/>
    <s v="Y"/>
    <n v="3"/>
    <n v="-2"/>
    <n v="0"/>
    <x v="23"/>
    <n v="0"/>
    <m/>
    <n v="0"/>
    <n v="1"/>
    <n v="531"/>
    <n v="4"/>
    <x v="2"/>
    <n v="1"/>
    <n v="4"/>
    <n v="56"/>
    <n v="2"/>
    <n v="3"/>
    <n v="2"/>
    <n v="10231"/>
    <n v="20364"/>
    <n v="3"/>
    <n v="14"/>
    <n v="3"/>
    <n v="4"/>
    <n v="80"/>
    <n v="0"/>
    <n v="23"/>
    <n v="4"/>
    <n v="21"/>
    <n v="7"/>
    <n v="15"/>
    <n v="17"/>
  </r>
  <r>
    <s v="No"/>
    <s v="Travel_Rarely"/>
    <x v="0"/>
    <s v="Current Employees"/>
    <x v="1"/>
    <x v="0"/>
    <s v="STAFF-1294"/>
    <x v="927"/>
    <x v="0"/>
    <x v="3"/>
    <x v="0"/>
    <s v="Yes"/>
    <s v="Y"/>
    <n v="2"/>
    <n v="-2"/>
    <n v="0"/>
    <x v="9"/>
    <n v="0"/>
    <m/>
    <n v="0"/>
    <n v="1"/>
    <n v="429"/>
    <n v="2"/>
    <x v="2"/>
    <n v="1"/>
    <n v="3"/>
    <n v="53"/>
    <n v="3"/>
    <n v="2"/>
    <n v="2"/>
    <n v="5410"/>
    <n v="2323"/>
    <n v="9"/>
    <n v="11"/>
    <n v="3"/>
    <n v="4"/>
    <n v="80"/>
    <n v="0"/>
    <n v="18"/>
    <n v="3"/>
    <n v="16"/>
    <n v="14"/>
    <n v="5"/>
    <n v="12"/>
  </r>
  <r>
    <s v="Yes"/>
    <s v="Travel_Rarely"/>
    <x v="0"/>
    <s v="Ex-Employees"/>
    <x v="1"/>
    <x v="2"/>
    <s v="STAFF-1295"/>
    <x v="928"/>
    <x v="0"/>
    <x v="4"/>
    <x v="1"/>
    <s v="No"/>
    <s v="Y"/>
    <n v="2"/>
    <n v="-2"/>
    <n v="0"/>
    <x v="20"/>
    <n v="1"/>
    <n v="1"/>
    <n v="1"/>
    <n v="0"/>
    <n v="621"/>
    <n v="15"/>
    <x v="3"/>
    <n v="1"/>
    <n v="1"/>
    <n v="73"/>
    <n v="3"/>
    <n v="3"/>
    <n v="4"/>
    <n v="7978"/>
    <n v="14075"/>
    <n v="1"/>
    <n v="11"/>
    <n v="3"/>
    <n v="4"/>
    <n v="80"/>
    <n v="1"/>
    <n v="10"/>
    <n v="3"/>
    <n v="10"/>
    <n v="7"/>
    <n v="0"/>
    <n v="5"/>
  </r>
  <r>
    <s v="No"/>
    <s v="Travel_Frequently"/>
    <x v="2"/>
    <s v="Current Employees"/>
    <x v="1"/>
    <x v="0"/>
    <s v="STAFF-1296"/>
    <x v="929"/>
    <x v="1"/>
    <x v="2"/>
    <x v="1"/>
    <s v="Yes"/>
    <s v="Y"/>
    <n v="2"/>
    <n v="-2"/>
    <n v="0"/>
    <x v="14"/>
    <n v="0"/>
    <m/>
    <n v="0"/>
    <n v="1"/>
    <n v="193"/>
    <n v="2"/>
    <x v="3"/>
    <n v="1"/>
    <n v="4"/>
    <n v="52"/>
    <n v="2"/>
    <n v="1"/>
    <n v="4"/>
    <n v="3867"/>
    <n v="14222"/>
    <n v="1"/>
    <n v="12"/>
    <n v="3"/>
    <n v="2"/>
    <n v="80"/>
    <n v="1"/>
    <n v="2"/>
    <n v="3"/>
    <n v="2"/>
    <n v="2"/>
    <n v="2"/>
    <n v="2"/>
  </r>
  <r>
    <s v="No"/>
    <s v="Travel_Frequently"/>
    <x v="1"/>
    <s v="Current Employees"/>
    <x v="1"/>
    <x v="2"/>
    <s v="STAFF-1297"/>
    <x v="930"/>
    <x v="0"/>
    <x v="2"/>
    <x v="0"/>
    <s v="No"/>
    <s v="Y"/>
    <n v="6"/>
    <n v="-2"/>
    <n v="0"/>
    <x v="31"/>
    <n v="0"/>
    <m/>
    <n v="0"/>
    <n v="1"/>
    <n v="968"/>
    <n v="6"/>
    <x v="0"/>
    <n v="1"/>
    <n v="2"/>
    <n v="40"/>
    <n v="2"/>
    <n v="1"/>
    <n v="3"/>
    <n v="2838"/>
    <n v="4257"/>
    <n v="0"/>
    <n v="14"/>
    <n v="3"/>
    <n v="2"/>
    <n v="80"/>
    <n v="0"/>
    <n v="8"/>
    <n v="2"/>
    <n v="7"/>
    <n v="0"/>
    <n v="7"/>
    <n v="7"/>
  </r>
  <r>
    <s v="No"/>
    <s v="Non-Travel"/>
    <x v="2"/>
    <s v="Current Employees"/>
    <x v="1"/>
    <x v="2"/>
    <s v="STAFF-1298"/>
    <x v="931"/>
    <x v="0"/>
    <x v="3"/>
    <x v="0"/>
    <s v="Yes"/>
    <s v="Y"/>
    <n v="3"/>
    <n v="-2"/>
    <n v="0"/>
    <x v="7"/>
    <n v="0"/>
    <m/>
    <n v="0"/>
    <n v="1"/>
    <n v="879"/>
    <n v="9"/>
    <x v="0"/>
    <n v="1"/>
    <n v="3"/>
    <n v="72"/>
    <n v="3"/>
    <n v="2"/>
    <n v="3"/>
    <n v="4695"/>
    <n v="12858"/>
    <n v="7"/>
    <n v="18"/>
    <n v="3"/>
    <n v="3"/>
    <n v="80"/>
    <n v="0"/>
    <n v="10"/>
    <n v="3"/>
    <n v="8"/>
    <n v="4"/>
    <n v="1"/>
    <n v="7"/>
  </r>
  <r>
    <s v="Yes"/>
    <s v="Travel_Rarely"/>
    <x v="2"/>
    <s v="Ex-Employees"/>
    <x v="1"/>
    <x v="4"/>
    <s v="STAFF-1299"/>
    <x v="932"/>
    <x v="0"/>
    <x v="2"/>
    <x v="2"/>
    <s v="Yes"/>
    <s v="Y"/>
    <n v="2"/>
    <n v="-2"/>
    <n v="0"/>
    <x v="11"/>
    <n v="1"/>
    <n v="1"/>
    <n v="1"/>
    <n v="0"/>
    <n v="806"/>
    <n v="7"/>
    <x v="3"/>
    <n v="1"/>
    <n v="4"/>
    <n v="39"/>
    <n v="3"/>
    <n v="1"/>
    <n v="4"/>
    <n v="3339"/>
    <n v="17285"/>
    <n v="3"/>
    <n v="13"/>
    <n v="3"/>
    <n v="1"/>
    <n v="80"/>
    <n v="2"/>
    <n v="10"/>
    <n v="3"/>
    <n v="7"/>
    <n v="7"/>
    <n v="7"/>
    <n v="7"/>
  </r>
  <r>
    <s v="No"/>
    <s v="Travel_Rarely"/>
    <x v="2"/>
    <s v="Current Employees"/>
    <x v="1"/>
    <x v="4"/>
    <s v="STAFF-1301"/>
    <x v="933"/>
    <x v="1"/>
    <x v="1"/>
    <x v="0"/>
    <s v="No"/>
    <s v="Y"/>
    <n v="2"/>
    <n v="-2"/>
    <n v="0"/>
    <x v="14"/>
    <n v="0"/>
    <m/>
    <n v="0"/>
    <n v="1"/>
    <n v="640"/>
    <n v="1"/>
    <x v="3"/>
    <n v="1"/>
    <n v="4"/>
    <n v="84"/>
    <n v="3"/>
    <n v="1"/>
    <n v="4"/>
    <n v="2080"/>
    <n v="4732"/>
    <n v="2"/>
    <n v="11"/>
    <n v="3"/>
    <n v="2"/>
    <n v="80"/>
    <n v="0"/>
    <n v="5"/>
    <n v="2"/>
    <n v="3"/>
    <n v="2"/>
    <n v="1"/>
    <n v="2"/>
  </r>
  <r>
    <s v="No"/>
    <s v="Travel_Rarely"/>
    <x v="2"/>
    <s v="Current Employees"/>
    <x v="1"/>
    <x v="2"/>
    <s v="STAFF-1303"/>
    <x v="934"/>
    <x v="0"/>
    <x v="1"/>
    <x v="0"/>
    <s v="No"/>
    <s v="Y"/>
    <n v="3"/>
    <n v="-2"/>
    <n v="0"/>
    <x v="36"/>
    <n v="0"/>
    <m/>
    <n v="0"/>
    <n v="1"/>
    <n v="266"/>
    <n v="1"/>
    <x v="3"/>
    <n v="1"/>
    <n v="4"/>
    <n v="40"/>
    <n v="3"/>
    <n v="1"/>
    <n v="2"/>
    <n v="2096"/>
    <n v="18830"/>
    <n v="1"/>
    <n v="18"/>
    <n v="3"/>
    <n v="4"/>
    <n v="80"/>
    <n v="0"/>
    <n v="2"/>
    <n v="2"/>
    <n v="2"/>
    <n v="2"/>
    <n v="2"/>
    <n v="1"/>
  </r>
  <r>
    <s v="No"/>
    <s v="Travel_Rarely"/>
    <x v="2"/>
    <s v="Current Employees"/>
    <x v="0"/>
    <x v="2"/>
    <s v="STAFF-1304"/>
    <x v="935"/>
    <x v="1"/>
    <x v="0"/>
    <x v="1"/>
    <s v="No"/>
    <s v="Y"/>
    <n v="4"/>
    <n v="-2"/>
    <n v="0"/>
    <x v="5"/>
    <n v="0"/>
    <m/>
    <n v="0"/>
    <n v="1"/>
    <n v="604"/>
    <n v="8"/>
    <x v="3"/>
    <n v="1"/>
    <n v="3"/>
    <n v="56"/>
    <n v="4"/>
    <n v="2"/>
    <n v="4"/>
    <n v="6209"/>
    <n v="11693"/>
    <n v="1"/>
    <n v="15"/>
    <n v="3"/>
    <n v="3"/>
    <n v="80"/>
    <n v="2"/>
    <n v="10"/>
    <n v="4"/>
    <n v="10"/>
    <n v="7"/>
    <n v="0"/>
    <n v="8"/>
  </r>
  <r>
    <s v="No"/>
    <s v="Travel_Frequently"/>
    <x v="1"/>
    <s v="Current Employees"/>
    <x v="1"/>
    <x v="2"/>
    <s v="STAFF-1306"/>
    <x v="936"/>
    <x v="0"/>
    <x v="5"/>
    <x v="0"/>
    <s v="No"/>
    <s v="Y"/>
    <n v="4"/>
    <n v="-2"/>
    <n v="0"/>
    <x v="28"/>
    <n v="0"/>
    <m/>
    <n v="0"/>
    <n v="1"/>
    <n v="364"/>
    <n v="25"/>
    <x v="3"/>
    <n v="1"/>
    <n v="2"/>
    <n v="83"/>
    <n v="3"/>
    <n v="5"/>
    <n v="2"/>
    <n v="18061"/>
    <n v="13035"/>
    <n v="3"/>
    <n v="22"/>
    <n v="4"/>
    <n v="3"/>
    <n v="80"/>
    <n v="0"/>
    <n v="22"/>
    <n v="3"/>
    <n v="0"/>
    <n v="0"/>
    <n v="0"/>
    <n v="0"/>
  </r>
  <r>
    <s v="No"/>
    <s v="Travel_Rarely"/>
    <x v="0"/>
    <s v="Current Employees"/>
    <x v="1"/>
    <x v="2"/>
    <s v="STAFF-1307"/>
    <x v="937"/>
    <x v="0"/>
    <x v="5"/>
    <x v="2"/>
    <s v="Yes"/>
    <s v="Y"/>
    <n v="4"/>
    <n v="-2"/>
    <n v="0"/>
    <x v="22"/>
    <n v="0"/>
    <m/>
    <n v="0"/>
    <n v="1"/>
    <n v="412"/>
    <n v="13"/>
    <x v="2"/>
    <n v="1"/>
    <n v="3"/>
    <n v="94"/>
    <n v="2"/>
    <n v="4"/>
    <n v="2"/>
    <n v="17123"/>
    <n v="17334"/>
    <n v="6"/>
    <n v="13"/>
    <n v="3"/>
    <n v="4"/>
    <n v="80"/>
    <n v="2"/>
    <n v="21"/>
    <n v="3"/>
    <n v="19"/>
    <n v="9"/>
    <n v="15"/>
    <n v="2"/>
  </r>
  <r>
    <s v="No"/>
    <s v="Travel_Rarely"/>
    <x v="3"/>
    <s v="Current Employees"/>
    <x v="1"/>
    <x v="0"/>
    <s v="STAFF-1308"/>
    <x v="938"/>
    <x v="1"/>
    <x v="1"/>
    <x v="2"/>
    <s v="No"/>
    <s v="Y"/>
    <n v="3"/>
    <n v="-2"/>
    <n v="0"/>
    <x v="34"/>
    <n v="0"/>
    <m/>
    <n v="0"/>
    <n v="1"/>
    <n v="848"/>
    <n v="23"/>
    <x v="2"/>
    <n v="1"/>
    <n v="1"/>
    <n v="88"/>
    <n v="3"/>
    <n v="1"/>
    <n v="3"/>
    <n v="2372"/>
    <n v="26076"/>
    <n v="1"/>
    <n v="12"/>
    <n v="3"/>
    <n v="4"/>
    <n v="80"/>
    <n v="2"/>
    <n v="2"/>
    <n v="3"/>
    <n v="2"/>
    <n v="2"/>
    <n v="2"/>
    <n v="2"/>
  </r>
  <r>
    <s v="Yes"/>
    <s v="Travel_Rarely"/>
    <x v="2"/>
    <s v="Ex-Employees"/>
    <x v="1"/>
    <x v="0"/>
    <s v="STAFF-1309"/>
    <x v="939"/>
    <x v="1"/>
    <x v="2"/>
    <x v="1"/>
    <s v="No"/>
    <s v="Y"/>
    <n v="3"/>
    <n v="-2"/>
    <n v="0"/>
    <x v="5"/>
    <n v="1"/>
    <n v="1"/>
    <n v="1"/>
    <n v="0"/>
    <n v="1089"/>
    <n v="7"/>
    <x v="0"/>
    <n v="1"/>
    <n v="4"/>
    <n v="79"/>
    <n v="3"/>
    <n v="2"/>
    <n v="3"/>
    <n v="4883"/>
    <n v="22845"/>
    <n v="1"/>
    <n v="18"/>
    <n v="3"/>
    <n v="1"/>
    <n v="80"/>
    <n v="1"/>
    <n v="10"/>
    <n v="3"/>
    <n v="10"/>
    <n v="4"/>
    <n v="1"/>
    <n v="1"/>
  </r>
  <r>
    <s v="Yes"/>
    <s v="Travel_Rarely"/>
    <x v="0"/>
    <s v="Ex-Employees"/>
    <x v="1"/>
    <x v="2"/>
    <s v="STAFF-1310"/>
    <x v="940"/>
    <x v="1"/>
    <x v="1"/>
    <x v="0"/>
    <s v="No"/>
    <s v="Y"/>
    <n v="2"/>
    <n v="-2"/>
    <n v="0"/>
    <x v="22"/>
    <n v="1"/>
    <n v="1"/>
    <n v="1"/>
    <n v="0"/>
    <n v="360"/>
    <n v="23"/>
    <x v="3"/>
    <n v="1"/>
    <n v="3"/>
    <n v="93"/>
    <n v="3"/>
    <n v="1"/>
    <n v="3"/>
    <n v="3904"/>
    <n v="22154"/>
    <n v="0"/>
    <n v="13"/>
    <n v="3"/>
    <n v="1"/>
    <n v="80"/>
    <n v="0"/>
    <n v="6"/>
    <n v="3"/>
    <n v="5"/>
    <n v="2"/>
    <n v="0"/>
    <n v="3"/>
  </r>
  <r>
    <s v="No"/>
    <s v="Travel_Rarely"/>
    <x v="2"/>
    <s v="Current Employees"/>
    <x v="1"/>
    <x v="4"/>
    <s v="STAFF-1311"/>
    <x v="941"/>
    <x v="0"/>
    <x v="2"/>
    <x v="1"/>
    <s v="No"/>
    <s v="Y"/>
    <n v="6"/>
    <n v="-2"/>
    <n v="0"/>
    <x v="7"/>
    <n v="0"/>
    <m/>
    <n v="0"/>
    <n v="1"/>
    <n v="1138"/>
    <n v="6"/>
    <x v="3"/>
    <n v="1"/>
    <n v="4"/>
    <n v="48"/>
    <n v="2"/>
    <n v="2"/>
    <n v="4"/>
    <n v="4627"/>
    <n v="23631"/>
    <n v="0"/>
    <n v="12"/>
    <n v="3"/>
    <n v="1"/>
    <n v="80"/>
    <n v="1"/>
    <n v="10"/>
    <n v="3"/>
    <n v="9"/>
    <n v="2"/>
    <n v="6"/>
    <n v="7"/>
  </r>
  <r>
    <s v="No"/>
    <s v="Travel_Rarely"/>
    <x v="0"/>
    <s v="Current Employees"/>
    <x v="1"/>
    <x v="4"/>
    <s v="STAFF-1312"/>
    <x v="942"/>
    <x v="0"/>
    <x v="4"/>
    <x v="1"/>
    <s v="No"/>
    <s v="Y"/>
    <n v="0"/>
    <n v="-2"/>
    <n v="0"/>
    <x v="9"/>
    <n v="0"/>
    <m/>
    <n v="0"/>
    <n v="1"/>
    <n v="325"/>
    <n v="10"/>
    <x v="2"/>
    <n v="1"/>
    <n v="4"/>
    <n v="63"/>
    <n v="3"/>
    <n v="3"/>
    <n v="4"/>
    <n v="7094"/>
    <n v="5747"/>
    <n v="3"/>
    <n v="12"/>
    <n v="3"/>
    <n v="1"/>
    <n v="80"/>
    <n v="0"/>
    <n v="10"/>
    <n v="3"/>
    <n v="7"/>
    <n v="7"/>
    <n v="1"/>
    <n v="7"/>
  </r>
  <r>
    <s v="No"/>
    <s v="Travel_Rarely"/>
    <x v="1"/>
    <s v="Current Employees"/>
    <x v="2"/>
    <x v="0"/>
    <s v="STAFF-1314"/>
    <x v="943"/>
    <x v="0"/>
    <x v="8"/>
    <x v="0"/>
    <s v="No"/>
    <s v="Y"/>
    <n v="3"/>
    <n v="-2"/>
    <n v="0"/>
    <x v="21"/>
    <n v="0"/>
    <m/>
    <n v="0"/>
    <n v="1"/>
    <n v="991"/>
    <n v="1"/>
    <x v="0"/>
    <n v="1"/>
    <n v="4"/>
    <n v="44"/>
    <n v="3"/>
    <n v="1"/>
    <n v="3"/>
    <n v="3423"/>
    <n v="22957"/>
    <n v="6"/>
    <n v="12"/>
    <n v="3"/>
    <n v="3"/>
    <n v="80"/>
    <n v="0"/>
    <n v="10"/>
    <n v="4"/>
    <n v="7"/>
    <n v="6"/>
    <n v="5"/>
    <n v="7"/>
  </r>
  <r>
    <s v="No"/>
    <s v="Non-Travel"/>
    <x v="2"/>
    <s v="Current Employees"/>
    <x v="1"/>
    <x v="0"/>
    <s v="STAFF-1315"/>
    <x v="944"/>
    <x v="0"/>
    <x v="2"/>
    <x v="1"/>
    <s v="No"/>
    <s v="Y"/>
    <n v="6"/>
    <n v="-2"/>
    <n v="0"/>
    <x v="14"/>
    <n v="0"/>
    <m/>
    <n v="0"/>
    <n v="1"/>
    <n v="1476"/>
    <n v="1"/>
    <x v="3"/>
    <n v="1"/>
    <n v="3"/>
    <n v="55"/>
    <n v="1"/>
    <n v="2"/>
    <n v="4"/>
    <n v="6674"/>
    <n v="16392"/>
    <n v="0"/>
    <n v="11"/>
    <n v="3"/>
    <n v="1"/>
    <n v="80"/>
    <n v="3"/>
    <n v="10"/>
    <n v="3"/>
    <n v="9"/>
    <n v="8"/>
    <n v="7"/>
    <n v="5"/>
  </r>
  <r>
    <s v="No"/>
    <s v="Travel_Rarely"/>
    <x v="1"/>
    <s v="Current Employees"/>
    <x v="1"/>
    <x v="0"/>
    <s v="STAFF-1317"/>
    <x v="945"/>
    <x v="0"/>
    <x v="7"/>
    <x v="1"/>
    <s v="Yes"/>
    <s v="Y"/>
    <n v="2"/>
    <n v="-2"/>
    <n v="0"/>
    <x v="24"/>
    <n v="0"/>
    <m/>
    <n v="0"/>
    <n v="1"/>
    <n v="1322"/>
    <n v="28"/>
    <x v="3"/>
    <n v="1"/>
    <n v="4"/>
    <n v="43"/>
    <n v="3"/>
    <n v="4"/>
    <n v="3"/>
    <n v="16880"/>
    <n v="22422"/>
    <n v="4"/>
    <n v="11"/>
    <n v="3"/>
    <n v="2"/>
    <n v="80"/>
    <n v="0"/>
    <n v="25"/>
    <n v="3"/>
    <n v="3"/>
    <n v="2"/>
    <n v="1"/>
    <n v="2"/>
  </r>
  <r>
    <s v="Yes"/>
    <s v="Travel_Rarely"/>
    <x v="0"/>
    <s v="Ex-Employees"/>
    <x v="0"/>
    <x v="3"/>
    <s v="STAFF-1318"/>
    <x v="946"/>
    <x v="1"/>
    <x v="0"/>
    <x v="0"/>
    <s v="Yes"/>
    <s v="Y"/>
    <n v="2"/>
    <n v="-2"/>
    <n v="0"/>
    <x v="32"/>
    <n v="1"/>
    <n v="1"/>
    <n v="1"/>
    <n v="0"/>
    <n v="299"/>
    <n v="25"/>
    <x v="2"/>
    <n v="1"/>
    <n v="4"/>
    <n v="57"/>
    <n v="2"/>
    <n v="3"/>
    <n v="2"/>
    <n v="9094"/>
    <n v="17235"/>
    <n v="2"/>
    <n v="12"/>
    <n v="3"/>
    <n v="3"/>
    <n v="80"/>
    <n v="0"/>
    <n v="9"/>
    <n v="3"/>
    <n v="5"/>
    <n v="4"/>
    <n v="1"/>
    <n v="0"/>
  </r>
  <r>
    <s v="Yes"/>
    <s v="Travel_Rarely"/>
    <x v="1"/>
    <s v="Ex-Employees"/>
    <x v="0"/>
    <x v="0"/>
    <s v="STAFF-1319"/>
    <x v="947"/>
    <x v="1"/>
    <x v="0"/>
    <x v="0"/>
    <s v="Yes"/>
    <s v="Y"/>
    <n v="2"/>
    <n v="-2"/>
    <n v="0"/>
    <x v="39"/>
    <n v="1"/>
    <n v="1"/>
    <n v="1"/>
    <n v="0"/>
    <n v="1030"/>
    <n v="5"/>
    <x v="3"/>
    <n v="1"/>
    <n v="2"/>
    <n v="64"/>
    <n v="3"/>
    <n v="3"/>
    <n v="2"/>
    <n v="8446"/>
    <n v="21534"/>
    <n v="9"/>
    <n v="19"/>
    <n v="3"/>
    <n v="3"/>
    <n v="80"/>
    <n v="0"/>
    <n v="10"/>
    <n v="2"/>
    <n v="8"/>
    <n v="7"/>
    <n v="7"/>
    <n v="7"/>
  </r>
  <r>
    <s v="No"/>
    <s v="Travel_Rarely"/>
    <x v="2"/>
    <s v="Current Employees"/>
    <x v="1"/>
    <x v="2"/>
    <s v="STAFF-1321"/>
    <x v="948"/>
    <x v="0"/>
    <x v="5"/>
    <x v="1"/>
    <s v="Yes"/>
    <s v="Y"/>
    <n v="2"/>
    <n v="-2"/>
    <n v="0"/>
    <x v="7"/>
    <n v="0"/>
    <m/>
    <n v="0"/>
    <n v="1"/>
    <n v="634"/>
    <n v="17"/>
    <x v="2"/>
    <n v="1"/>
    <n v="2"/>
    <n v="95"/>
    <n v="3"/>
    <n v="3"/>
    <n v="3"/>
    <n v="11916"/>
    <n v="25927"/>
    <n v="1"/>
    <n v="23"/>
    <n v="4"/>
    <n v="4"/>
    <n v="80"/>
    <n v="2"/>
    <n v="9"/>
    <n v="3"/>
    <n v="9"/>
    <n v="1"/>
    <n v="0"/>
    <n v="8"/>
  </r>
  <r>
    <s v="No"/>
    <s v="Travel_Rarely"/>
    <x v="0"/>
    <s v="Current Employees"/>
    <x v="1"/>
    <x v="0"/>
    <s v="STAFF-1322"/>
    <x v="949"/>
    <x v="1"/>
    <x v="3"/>
    <x v="0"/>
    <s v="No"/>
    <s v="Y"/>
    <n v="6"/>
    <n v="-2"/>
    <n v="0"/>
    <x v="22"/>
    <n v="0"/>
    <m/>
    <n v="0"/>
    <n v="1"/>
    <n v="524"/>
    <n v="18"/>
    <x v="0"/>
    <n v="1"/>
    <n v="1"/>
    <n v="32"/>
    <n v="3"/>
    <n v="2"/>
    <n v="3"/>
    <n v="4534"/>
    <n v="13352"/>
    <n v="0"/>
    <n v="11"/>
    <n v="3"/>
    <n v="1"/>
    <n v="80"/>
    <n v="0"/>
    <n v="9"/>
    <n v="3"/>
    <n v="8"/>
    <n v="7"/>
    <n v="1"/>
    <n v="7"/>
  </r>
  <r>
    <s v="No"/>
    <s v="Non-Travel"/>
    <x v="2"/>
    <s v="Current Employees"/>
    <x v="0"/>
    <x v="0"/>
    <s v="STAFF-1324"/>
    <x v="950"/>
    <x v="0"/>
    <x v="0"/>
    <x v="2"/>
    <s v="Yes"/>
    <s v="Y"/>
    <n v="5"/>
    <n v="-2"/>
    <n v="0"/>
    <x v="12"/>
    <n v="0"/>
    <m/>
    <n v="0"/>
    <n v="1"/>
    <n v="587"/>
    <n v="2"/>
    <x v="2"/>
    <n v="1"/>
    <n v="4"/>
    <n v="57"/>
    <n v="3"/>
    <n v="3"/>
    <n v="3"/>
    <n v="9852"/>
    <n v="8935"/>
    <n v="1"/>
    <n v="19"/>
    <n v="3"/>
    <n v="1"/>
    <n v="80"/>
    <n v="1"/>
    <n v="10"/>
    <n v="2"/>
    <n v="10"/>
    <n v="8"/>
    <n v="9"/>
    <n v="6"/>
  </r>
  <r>
    <s v="No"/>
    <s v="Non-Travel"/>
    <x v="0"/>
    <s v="Current Employees"/>
    <x v="0"/>
    <x v="2"/>
    <s v="STAFF-1329"/>
    <x v="951"/>
    <x v="1"/>
    <x v="0"/>
    <x v="0"/>
    <s v="No"/>
    <s v="Y"/>
    <n v="4"/>
    <n v="-2"/>
    <n v="0"/>
    <x v="0"/>
    <n v="0"/>
    <m/>
    <n v="0"/>
    <n v="1"/>
    <n v="256"/>
    <n v="10"/>
    <x v="0"/>
    <n v="1"/>
    <n v="3"/>
    <n v="40"/>
    <n v="1"/>
    <n v="2"/>
    <n v="2"/>
    <n v="6151"/>
    <n v="22074"/>
    <n v="1"/>
    <n v="13"/>
    <n v="3"/>
    <n v="1"/>
    <n v="80"/>
    <n v="0"/>
    <n v="19"/>
    <n v="3"/>
    <n v="19"/>
    <n v="2"/>
    <n v="11"/>
    <n v="9"/>
  </r>
  <r>
    <s v="Yes"/>
    <s v="Travel_Frequently"/>
    <x v="2"/>
    <s v="Ex-Employees"/>
    <x v="0"/>
    <x v="0"/>
    <s v="STAFF-1331"/>
    <x v="952"/>
    <x v="0"/>
    <x v="6"/>
    <x v="0"/>
    <s v="Yes"/>
    <s v="Y"/>
    <n v="2"/>
    <n v="-2"/>
    <n v="0"/>
    <x v="12"/>
    <n v="1"/>
    <n v="1"/>
    <n v="1"/>
    <n v="0"/>
    <n v="1060"/>
    <n v="1"/>
    <x v="3"/>
    <n v="1"/>
    <n v="4"/>
    <n v="54"/>
    <n v="3"/>
    <n v="1"/>
    <n v="2"/>
    <n v="2302"/>
    <n v="8319"/>
    <n v="1"/>
    <n v="11"/>
    <n v="3"/>
    <n v="1"/>
    <n v="80"/>
    <n v="0"/>
    <n v="3"/>
    <n v="4"/>
    <n v="3"/>
    <n v="2"/>
    <n v="2"/>
    <n v="2"/>
  </r>
  <r>
    <s v="Yes"/>
    <s v="Travel_Rarely"/>
    <x v="0"/>
    <s v="Ex-Employees"/>
    <x v="1"/>
    <x v="0"/>
    <s v="STAFF-1333"/>
    <x v="953"/>
    <x v="1"/>
    <x v="2"/>
    <x v="1"/>
    <s v="No"/>
    <s v="Y"/>
    <n v="4"/>
    <n v="-2"/>
    <n v="0"/>
    <x v="20"/>
    <n v="1"/>
    <n v="1"/>
    <n v="1"/>
    <n v="0"/>
    <n v="935"/>
    <n v="3"/>
    <x v="3"/>
    <n v="1"/>
    <n v="1"/>
    <n v="89"/>
    <n v="3"/>
    <n v="1"/>
    <n v="3"/>
    <n v="2362"/>
    <n v="14669"/>
    <n v="4"/>
    <n v="12"/>
    <n v="3"/>
    <n v="3"/>
    <n v="80"/>
    <n v="0"/>
    <n v="10"/>
    <n v="4"/>
    <n v="3"/>
    <n v="2"/>
    <n v="1"/>
    <n v="2"/>
  </r>
  <r>
    <s v="No"/>
    <s v="Non-Travel"/>
    <x v="0"/>
    <s v="Current Employees"/>
    <x v="1"/>
    <x v="0"/>
    <s v="STAFF-1334"/>
    <x v="954"/>
    <x v="1"/>
    <x v="5"/>
    <x v="1"/>
    <s v="Yes"/>
    <s v="Y"/>
    <n v="3"/>
    <n v="-2"/>
    <n v="0"/>
    <x v="19"/>
    <n v="0"/>
    <m/>
    <n v="0"/>
    <n v="1"/>
    <n v="495"/>
    <n v="2"/>
    <x v="1"/>
    <n v="1"/>
    <n v="3"/>
    <n v="37"/>
    <n v="3"/>
    <n v="4"/>
    <n v="3"/>
    <n v="17861"/>
    <n v="26582"/>
    <n v="0"/>
    <n v="13"/>
    <n v="3"/>
    <n v="4"/>
    <n v="80"/>
    <n v="0"/>
    <n v="21"/>
    <n v="2"/>
    <n v="20"/>
    <n v="8"/>
    <n v="2"/>
    <n v="10"/>
  </r>
  <r>
    <s v="No"/>
    <s v="Travel_Rarely"/>
    <x v="3"/>
    <s v="Current Employees"/>
    <x v="1"/>
    <x v="2"/>
    <s v="STAFF-1336"/>
    <x v="955"/>
    <x v="0"/>
    <x v="5"/>
    <x v="1"/>
    <s v="No"/>
    <s v="Y"/>
    <n v="5"/>
    <n v="-2"/>
    <n v="0"/>
    <x v="27"/>
    <n v="0"/>
    <m/>
    <n v="0"/>
    <n v="1"/>
    <n v="282"/>
    <n v="2"/>
    <x v="0"/>
    <n v="1"/>
    <n v="4"/>
    <n v="58"/>
    <n v="1"/>
    <n v="5"/>
    <n v="3"/>
    <n v="19187"/>
    <n v="6992"/>
    <n v="4"/>
    <n v="14"/>
    <n v="3"/>
    <n v="4"/>
    <n v="80"/>
    <n v="1"/>
    <n v="23"/>
    <n v="3"/>
    <n v="19"/>
    <n v="9"/>
    <n v="9"/>
    <n v="11"/>
  </r>
  <r>
    <s v="No"/>
    <s v="Travel_Rarely"/>
    <x v="3"/>
    <s v="Current Employees"/>
    <x v="2"/>
    <x v="0"/>
    <s v="STAFF-1338"/>
    <x v="956"/>
    <x v="1"/>
    <x v="5"/>
    <x v="0"/>
    <s v="No"/>
    <s v="Y"/>
    <n v="4"/>
    <n v="-2"/>
    <n v="0"/>
    <x v="29"/>
    <n v="0"/>
    <m/>
    <n v="0"/>
    <n v="1"/>
    <n v="206"/>
    <n v="8"/>
    <x v="2"/>
    <n v="1"/>
    <n v="4"/>
    <n v="99"/>
    <n v="3"/>
    <n v="5"/>
    <n v="2"/>
    <n v="19717"/>
    <n v="4022"/>
    <n v="6"/>
    <n v="14"/>
    <n v="3"/>
    <n v="1"/>
    <n v="80"/>
    <n v="0"/>
    <n v="36"/>
    <n v="3"/>
    <n v="7"/>
    <n v="3"/>
    <n v="7"/>
    <n v="7"/>
  </r>
  <r>
    <s v="No"/>
    <s v="Non-Travel"/>
    <x v="0"/>
    <s v="Current Employees"/>
    <x v="1"/>
    <x v="0"/>
    <s v="STAFF-1340"/>
    <x v="957"/>
    <x v="1"/>
    <x v="1"/>
    <x v="2"/>
    <s v="No"/>
    <s v="Y"/>
    <n v="0"/>
    <n v="-2"/>
    <n v="0"/>
    <x v="32"/>
    <n v="0"/>
    <m/>
    <n v="0"/>
    <n v="1"/>
    <n v="458"/>
    <n v="16"/>
    <x v="0"/>
    <n v="1"/>
    <n v="3"/>
    <n v="74"/>
    <n v="3"/>
    <n v="1"/>
    <n v="3"/>
    <n v="3544"/>
    <n v="8532"/>
    <n v="9"/>
    <n v="16"/>
    <n v="3"/>
    <n v="2"/>
    <n v="80"/>
    <n v="1"/>
    <n v="6"/>
    <n v="3"/>
    <n v="4"/>
    <n v="2"/>
    <n v="0"/>
    <n v="0"/>
  </r>
  <r>
    <s v="No"/>
    <s v="Travel_Rarely"/>
    <x v="2"/>
    <s v="Current Employees"/>
    <x v="1"/>
    <x v="0"/>
    <s v="STAFF-1344"/>
    <x v="958"/>
    <x v="1"/>
    <x v="4"/>
    <x v="2"/>
    <s v="No"/>
    <s v="Y"/>
    <n v="0"/>
    <n v="-2"/>
    <n v="0"/>
    <x v="13"/>
    <n v="0"/>
    <m/>
    <n v="0"/>
    <n v="1"/>
    <n v="943"/>
    <n v="9"/>
    <x v="3"/>
    <n v="1"/>
    <n v="4"/>
    <n v="86"/>
    <n v="3"/>
    <n v="3"/>
    <n v="4"/>
    <n v="8500"/>
    <n v="5494"/>
    <n v="0"/>
    <n v="11"/>
    <n v="3"/>
    <n v="4"/>
    <n v="80"/>
    <n v="1"/>
    <n v="10"/>
    <n v="2"/>
    <n v="9"/>
    <n v="7"/>
    <n v="1"/>
    <n v="6"/>
  </r>
  <r>
    <s v="No"/>
    <s v="Travel_Rarely"/>
    <x v="0"/>
    <s v="Current Employees"/>
    <x v="1"/>
    <x v="0"/>
    <s v="STAFF-1346"/>
    <x v="959"/>
    <x v="1"/>
    <x v="1"/>
    <x v="0"/>
    <s v="No"/>
    <s v="Y"/>
    <n v="4"/>
    <n v="-2"/>
    <n v="0"/>
    <x v="32"/>
    <n v="0"/>
    <m/>
    <n v="0"/>
    <n v="1"/>
    <n v="523"/>
    <n v="2"/>
    <x v="3"/>
    <n v="1"/>
    <n v="3"/>
    <n v="98"/>
    <n v="3"/>
    <n v="2"/>
    <n v="4"/>
    <n v="4661"/>
    <n v="22455"/>
    <n v="1"/>
    <n v="13"/>
    <n v="3"/>
    <n v="3"/>
    <n v="80"/>
    <n v="0"/>
    <n v="9"/>
    <n v="3"/>
    <n v="9"/>
    <n v="8"/>
    <n v="8"/>
    <n v="8"/>
  </r>
  <r>
    <s v="No"/>
    <s v="Travel_Frequently"/>
    <x v="0"/>
    <s v="Current Employees"/>
    <x v="0"/>
    <x v="3"/>
    <s v="STAFF-1349"/>
    <x v="960"/>
    <x v="0"/>
    <x v="0"/>
    <x v="2"/>
    <s v="No"/>
    <s v="Y"/>
    <n v="2"/>
    <n v="-2"/>
    <n v="0"/>
    <x v="0"/>
    <n v="0"/>
    <m/>
    <n v="0"/>
    <n v="1"/>
    <n v="1018"/>
    <n v="1"/>
    <x v="3"/>
    <n v="1"/>
    <n v="3"/>
    <n v="66"/>
    <n v="3"/>
    <n v="2"/>
    <n v="2"/>
    <n v="4103"/>
    <n v="4297"/>
    <n v="0"/>
    <n v="17"/>
    <n v="3"/>
    <n v="4"/>
    <n v="80"/>
    <n v="1"/>
    <n v="10"/>
    <n v="3"/>
    <n v="9"/>
    <n v="3"/>
    <n v="1"/>
    <n v="7"/>
  </r>
  <r>
    <s v="No"/>
    <s v="Travel_Frequently"/>
    <x v="0"/>
    <s v="Current Employees"/>
    <x v="1"/>
    <x v="0"/>
    <s v="STAFF-1350"/>
    <x v="961"/>
    <x v="1"/>
    <x v="1"/>
    <x v="0"/>
    <s v="Yes"/>
    <s v="Y"/>
    <n v="3"/>
    <n v="-2"/>
    <n v="0"/>
    <x v="10"/>
    <n v="0"/>
    <m/>
    <n v="0"/>
    <n v="1"/>
    <n v="482"/>
    <n v="4"/>
    <x v="2"/>
    <n v="1"/>
    <n v="3"/>
    <n v="87"/>
    <n v="3"/>
    <n v="2"/>
    <n v="3"/>
    <n v="4249"/>
    <n v="2690"/>
    <n v="1"/>
    <n v="11"/>
    <n v="3"/>
    <n v="2"/>
    <n v="80"/>
    <n v="0"/>
    <n v="9"/>
    <n v="3"/>
    <n v="9"/>
    <n v="6"/>
    <n v="1"/>
    <n v="1"/>
  </r>
  <r>
    <s v="No"/>
    <s v="Travel_Rarely"/>
    <x v="1"/>
    <s v="Current Employees"/>
    <x v="2"/>
    <x v="0"/>
    <s v="STAFF-1352"/>
    <x v="962"/>
    <x v="1"/>
    <x v="5"/>
    <x v="2"/>
    <s v="Yes"/>
    <s v="Y"/>
    <n v="2"/>
    <n v="-2"/>
    <n v="0"/>
    <x v="31"/>
    <n v="0"/>
    <m/>
    <n v="0"/>
    <n v="1"/>
    <n v="770"/>
    <n v="5"/>
    <x v="3"/>
    <n v="1"/>
    <n v="3"/>
    <n v="84"/>
    <n v="3"/>
    <n v="4"/>
    <n v="2"/>
    <n v="14026"/>
    <n v="17588"/>
    <n v="1"/>
    <n v="11"/>
    <n v="3"/>
    <n v="2"/>
    <n v="80"/>
    <n v="1"/>
    <n v="33"/>
    <n v="3"/>
    <n v="33"/>
    <n v="9"/>
    <n v="0"/>
    <n v="10"/>
  </r>
  <r>
    <s v="No"/>
    <s v="Travel_Rarely"/>
    <x v="0"/>
    <s v="Current Employees"/>
    <x v="0"/>
    <x v="0"/>
    <s v="STAFF-1355"/>
    <x v="963"/>
    <x v="0"/>
    <x v="0"/>
    <x v="2"/>
    <s v="No"/>
    <s v="Y"/>
    <n v="3"/>
    <n v="-2"/>
    <n v="0"/>
    <x v="8"/>
    <n v="0"/>
    <m/>
    <n v="0"/>
    <n v="1"/>
    <n v="1009"/>
    <n v="2"/>
    <x v="0"/>
    <n v="1"/>
    <n v="2"/>
    <n v="31"/>
    <n v="3"/>
    <n v="2"/>
    <n v="3"/>
    <n v="6893"/>
    <n v="19461"/>
    <n v="3"/>
    <n v="15"/>
    <n v="3"/>
    <n v="4"/>
    <n v="80"/>
    <n v="1"/>
    <n v="11"/>
    <n v="3"/>
    <n v="7"/>
    <n v="7"/>
    <n v="1"/>
    <n v="7"/>
  </r>
  <r>
    <s v="No"/>
    <s v="Travel_Rarely"/>
    <x v="2"/>
    <s v="Current Employees"/>
    <x v="0"/>
    <x v="2"/>
    <s v="STAFF-1356"/>
    <x v="964"/>
    <x v="0"/>
    <x v="0"/>
    <x v="0"/>
    <s v="No"/>
    <s v="Y"/>
    <n v="6"/>
    <n v="-2"/>
    <n v="0"/>
    <x v="13"/>
    <n v="0"/>
    <m/>
    <n v="0"/>
    <n v="1"/>
    <n v="507"/>
    <n v="15"/>
    <x v="0"/>
    <n v="1"/>
    <n v="3"/>
    <n v="66"/>
    <n v="3"/>
    <n v="2"/>
    <n v="3"/>
    <n v="6125"/>
    <n v="23553"/>
    <n v="1"/>
    <n v="12"/>
    <n v="3"/>
    <n v="4"/>
    <n v="80"/>
    <n v="0"/>
    <n v="10"/>
    <n v="4"/>
    <n v="10"/>
    <n v="8"/>
    <n v="9"/>
    <n v="6"/>
  </r>
  <r>
    <s v="No"/>
    <s v="Travel_Rarely"/>
    <x v="2"/>
    <s v="Current Employees"/>
    <x v="1"/>
    <x v="2"/>
    <s v="STAFF-1358"/>
    <x v="965"/>
    <x v="1"/>
    <x v="2"/>
    <x v="1"/>
    <s v="No"/>
    <s v="Y"/>
    <n v="6"/>
    <n v="-2"/>
    <n v="0"/>
    <x v="36"/>
    <n v="0"/>
    <m/>
    <n v="0"/>
    <n v="1"/>
    <n v="882"/>
    <n v="19"/>
    <x v="1"/>
    <n v="1"/>
    <n v="4"/>
    <n v="67"/>
    <n v="3"/>
    <n v="1"/>
    <n v="4"/>
    <n v="3669"/>
    <n v="9075"/>
    <n v="3"/>
    <n v="11"/>
    <n v="3"/>
    <n v="3"/>
    <n v="80"/>
    <n v="3"/>
    <n v="7"/>
    <n v="2"/>
    <n v="3"/>
    <n v="2"/>
    <n v="1"/>
    <n v="2"/>
  </r>
  <r>
    <s v="Yes"/>
    <s v="Travel_Rarely"/>
    <x v="3"/>
    <s v="Ex-Employees"/>
    <x v="1"/>
    <x v="2"/>
    <s v="STAFF-1360"/>
    <x v="966"/>
    <x v="0"/>
    <x v="3"/>
    <x v="1"/>
    <s v="Yes"/>
    <s v="Y"/>
    <n v="0"/>
    <n v="-2"/>
    <n v="0"/>
    <x v="34"/>
    <n v="1"/>
    <n v="1"/>
    <n v="1"/>
    <n v="0"/>
    <n v="601"/>
    <n v="7"/>
    <x v="2"/>
    <n v="1"/>
    <n v="3"/>
    <n v="53"/>
    <n v="2"/>
    <n v="3"/>
    <n v="3"/>
    <n v="10008"/>
    <n v="12023"/>
    <n v="7"/>
    <n v="14"/>
    <n v="3"/>
    <n v="4"/>
    <n v="80"/>
    <n v="0"/>
    <n v="31"/>
    <n v="2"/>
    <n v="10"/>
    <n v="9"/>
    <n v="5"/>
    <n v="9"/>
  </r>
  <r>
    <s v="No"/>
    <s v="Travel_Rarely"/>
    <x v="0"/>
    <s v="Current Employees"/>
    <x v="1"/>
    <x v="0"/>
    <s v="STAFF-1361"/>
    <x v="967"/>
    <x v="1"/>
    <x v="2"/>
    <x v="1"/>
    <s v="No"/>
    <s v="Y"/>
    <n v="3"/>
    <n v="-2"/>
    <n v="0"/>
    <x v="32"/>
    <n v="0"/>
    <m/>
    <n v="0"/>
    <n v="1"/>
    <n v="329"/>
    <n v="1"/>
    <x v="2"/>
    <n v="1"/>
    <n v="2"/>
    <n v="88"/>
    <n v="3"/>
    <n v="1"/>
    <n v="2"/>
    <n v="2387"/>
    <n v="6762"/>
    <n v="3"/>
    <n v="22"/>
    <n v="4"/>
    <n v="3"/>
    <n v="80"/>
    <n v="1"/>
    <n v="7"/>
    <n v="3"/>
    <n v="4"/>
    <n v="2"/>
    <n v="0"/>
    <n v="3"/>
  </r>
  <r>
    <s v="No"/>
    <s v="Travel_Frequently"/>
    <x v="0"/>
    <s v="Current Employees"/>
    <x v="0"/>
    <x v="3"/>
    <s v="STAFF-1362"/>
    <x v="968"/>
    <x v="0"/>
    <x v="0"/>
    <x v="1"/>
    <s v="No"/>
    <s v="Y"/>
    <n v="2"/>
    <n v="-2"/>
    <n v="0"/>
    <x v="9"/>
    <n v="0"/>
    <m/>
    <n v="0"/>
    <n v="1"/>
    <n v="607"/>
    <n v="7"/>
    <x v="3"/>
    <n v="1"/>
    <n v="1"/>
    <n v="83"/>
    <n v="4"/>
    <n v="2"/>
    <n v="2"/>
    <n v="4639"/>
    <n v="2261"/>
    <n v="2"/>
    <n v="16"/>
    <n v="3"/>
    <n v="4"/>
    <n v="80"/>
    <n v="1"/>
    <n v="17"/>
    <n v="2"/>
    <n v="15"/>
    <n v="7"/>
    <n v="6"/>
    <n v="13"/>
  </r>
  <r>
    <s v="No"/>
    <s v="Travel_Rarely"/>
    <x v="1"/>
    <s v="Current Employees"/>
    <x v="1"/>
    <x v="0"/>
    <s v="STAFF-1363"/>
    <x v="969"/>
    <x v="1"/>
    <x v="3"/>
    <x v="0"/>
    <s v="No"/>
    <s v="Y"/>
    <n v="2"/>
    <n v="-2"/>
    <n v="0"/>
    <x v="26"/>
    <n v="0"/>
    <m/>
    <n v="0"/>
    <n v="1"/>
    <n v="855"/>
    <n v="4"/>
    <x v="3"/>
    <n v="1"/>
    <n v="4"/>
    <n v="54"/>
    <n v="3"/>
    <n v="3"/>
    <n v="4"/>
    <n v="7898"/>
    <n v="18706"/>
    <n v="1"/>
    <n v="11"/>
    <n v="3"/>
    <n v="3"/>
    <n v="80"/>
    <n v="0"/>
    <n v="11"/>
    <n v="3"/>
    <n v="10"/>
    <n v="9"/>
    <n v="0"/>
    <n v="8"/>
  </r>
  <r>
    <s v="No"/>
    <s v="Travel_Rarely"/>
    <x v="2"/>
    <s v="Current Employees"/>
    <x v="0"/>
    <x v="2"/>
    <s v="STAFF-1364"/>
    <x v="970"/>
    <x v="0"/>
    <x v="6"/>
    <x v="1"/>
    <s v="No"/>
    <s v="Y"/>
    <n v="4"/>
    <n v="-2"/>
    <n v="0"/>
    <x v="4"/>
    <n v="0"/>
    <m/>
    <n v="0"/>
    <n v="1"/>
    <n v="1291"/>
    <n v="11"/>
    <x v="3"/>
    <n v="1"/>
    <n v="3"/>
    <n v="98"/>
    <n v="4"/>
    <n v="1"/>
    <n v="4"/>
    <n v="2534"/>
    <n v="6527"/>
    <n v="8"/>
    <n v="14"/>
    <n v="3"/>
    <n v="2"/>
    <n v="80"/>
    <n v="1"/>
    <n v="5"/>
    <n v="3"/>
    <n v="1"/>
    <n v="0"/>
    <n v="0"/>
    <n v="0"/>
  </r>
  <r>
    <s v="No"/>
    <s v="Travel_Rarely"/>
    <x v="1"/>
    <s v="Current Employees"/>
    <x v="1"/>
    <x v="4"/>
    <s v="STAFF-1367"/>
    <x v="971"/>
    <x v="0"/>
    <x v="3"/>
    <x v="0"/>
    <s v="No"/>
    <s v="Y"/>
    <n v="1"/>
    <n v="-2"/>
    <n v="0"/>
    <x v="31"/>
    <n v="0"/>
    <m/>
    <n v="0"/>
    <n v="1"/>
    <n v="1405"/>
    <n v="11"/>
    <x v="0"/>
    <n v="1"/>
    <n v="4"/>
    <n v="82"/>
    <n v="2"/>
    <n v="4"/>
    <n v="4"/>
    <n v="13142"/>
    <n v="24439"/>
    <n v="3"/>
    <n v="16"/>
    <n v="3"/>
    <n v="2"/>
    <n v="80"/>
    <n v="0"/>
    <n v="29"/>
    <n v="2"/>
    <n v="5"/>
    <n v="2"/>
    <n v="0"/>
    <n v="3"/>
  </r>
  <r>
    <s v="No"/>
    <s v="Non-Travel"/>
    <x v="4"/>
    <s v="Current Employees"/>
    <x v="1"/>
    <x v="0"/>
    <s v="STAFF-1368"/>
    <x v="972"/>
    <x v="0"/>
    <x v="2"/>
    <x v="0"/>
    <s v="No"/>
    <s v="Y"/>
    <n v="5"/>
    <n v="-2"/>
    <n v="0"/>
    <x v="41"/>
    <n v="0"/>
    <m/>
    <n v="0"/>
    <n v="1"/>
    <n v="1124"/>
    <n v="1"/>
    <x v="3"/>
    <n v="1"/>
    <n v="4"/>
    <n v="97"/>
    <n v="3"/>
    <n v="1"/>
    <n v="4"/>
    <n v="1611"/>
    <n v="19305"/>
    <n v="1"/>
    <n v="15"/>
    <n v="3"/>
    <n v="3"/>
    <n v="80"/>
    <n v="0"/>
    <n v="0"/>
    <n v="4"/>
    <n v="0"/>
    <n v="0"/>
    <n v="0"/>
    <n v="0"/>
  </r>
  <r>
    <s v="No"/>
    <s v="Travel_Rarely"/>
    <x v="0"/>
    <s v="Current Employees"/>
    <x v="1"/>
    <x v="2"/>
    <s v="STAFF-1369"/>
    <x v="973"/>
    <x v="0"/>
    <x v="2"/>
    <x v="1"/>
    <s v="No"/>
    <s v="Y"/>
    <n v="0"/>
    <n v="-2"/>
    <n v="0"/>
    <x v="10"/>
    <n v="0"/>
    <m/>
    <n v="0"/>
    <n v="1"/>
    <n v="817"/>
    <n v="1"/>
    <x v="3"/>
    <n v="1"/>
    <n v="4"/>
    <n v="60"/>
    <n v="2"/>
    <n v="2"/>
    <n v="4"/>
    <n v="5363"/>
    <n v="10846"/>
    <n v="0"/>
    <n v="12"/>
    <n v="3"/>
    <n v="2"/>
    <n v="80"/>
    <n v="1"/>
    <n v="10"/>
    <n v="3"/>
    <n v="9"/>
    <n v="7"/>
    <n v="0"/>
    <n v="0"/>
  </r>
  <r>
    <s v="No"/>
    <s v="Travel_Frequently"/>
    <x v="2"/>
    <s v="Current Employees"/>
    <x v="0"/>
    <x v="0"/>
    <s v="STAFF-1371"/>
    <x v="974"/>
    <x v="1"/>
    <x v="0"/>
    <x v="0"/>
    <s v="No"/>
    <s v="Y"/>
    <n v="3"/>
    <n v="-2"/>
    <n v="0"/>
    <x v="4"/>
    <n v="0"/>
    <m/>
    <n v="0"/>
    <n v="1"/>
    <n v="793"/>
    <n v="2"/>
    <x v="1"/>
    <n v="1"/>
    <n v="4"/>
    <n v="43"/>
    <n v="1"/>
    <n v="2"/>
    <n v="4"/>
    <n v="5071"/>
    <n v="20392"/>
    <n v="3"/>
    <n v="20"/>
    <n v="4"/>
    <n v="2"/>
    <n v="80"/>
    <n v="0"/>
    <n v="8"/>
    <n v="3"/>
    <n v="6"/>
    <n v="2"/>
    <n v="0"/>
    <n v="0"/>
  </r>
  <r>
    <s v="Yes"/>
    <s v="Travel_Rarely"/>
    <x v="3"/>
    <s v="Ex-Employees"/>
    <x v="0"/>
    <x v="3"/>
    <s v="STAFF-1372"/>
    <x v="975"/>
    <x v="1"/>
    <x v="0"/>
    <x v="0"/>
    <s v="Yes"/>
    <s v="Y"/>
    <n v="2"/>
    <n v="-2"/>
    <n v="0"/>
    <x v="27"/>
    <n v="1"/>
    <n v="1"/>
    <n v="1"/>
    <n v="0"/>
    <n v="267"/>
    <n v="13"/>
    <x v="2"/>
    <n v="1"/>
    <n v="1"/>
    <n v="85"/>
    <n v="4"/>
    <n v="4"/>
    <n v="2"/>
    <n v="13695"/>
    <n v="9277"/>
    <n v="6"/>
    <n v="17"/>
    <n v="3"/>
    <n v="3"/>
    <n v="80"/>
    <n v="0"/>
    <n v="24"/>
    <n v="2"/>
    <n v="19"/>
    <n v="7"/>
    <n v="3"/>
    <n v="8"/>
  </r>
  <r>
    <s v="No"/>
    <s v="Travel_Rarely"/>
    <x v="3"/>
    <s v="Current Employees"/>
    <x v="1"/>
    <x v="0"/>
    <s v="STAFF-1373"/>
    <x v="976"/>
    <x v="1"/>
    <x v="3"/>
    <x v="1"/>
    <s v="Yes"/>
    <s v="Y"/>
    <n v="0"/>
    <n v="-2"/>
    <n v="0"/>
    <x v="29"/>
    <n v="0"/>
    <m/>
    <n v="0"/>
    <n v="1"/>
    <n v="1369"/>
    <n v="23"/>
    <x v="3"/>
    <n v="1"/>
    <n v="4"/>
    <n v="68"/>
    <n v="3"/>
    <n v="4"/>
    <n v="2"/>
    <n v="13402"/>
    <n v="18235"/>
    <n v="4"/>
    <n v="12"/>
    <n v="3"/>
    <n v="1"/>
    <n v="80"/>
    <n v="1"/>
    <n v="33"/>
    <n v="3"/>
    <n v="19"/>
    <n v="16"/>
    <n v="15"/>
    <n v="9"/>
  </r>
  <r>
    <s v="No"/>
    <s v="Non-Travel"/>
    <x v="2"/>
    <s v="Current Employees"/>
    <x v="1"/>
    <x v="4"/>
    <s v="STAFF-1374"/>
    <x v="977"/>
    <x v="0"/>
    <x v="1"/>
    <x v="2"/>
    <s v="No"/>
    <s v="Y"/>
    <n v="2"/>
    <n v="-2"/>
    <n v="0"/>
    <x v="13"/>
    <n v="0"/>
    <m/>
    <n v="0"/>
    <n v="1"/>
    <n v="999"/>
    <n v="26"/>
    <x v="1"/>
    <n v="1"/>
    <n v="4"/>
    <n v="92"/>
    <n v="2"/>
    <n v="1"/>
    <n v="4"/>
    <n v="2029"/>
    <n v="15891"/>
    <n v="1"/>
    <n v="20"/>
    <n v="4"/>
    <n v="3"/>
    <n v="80"/>
    <n v="3"/>
    <n v="5"/>
    <n v="3"/>
    <n v="5"/>
    <n v="4"/>
    <n v="0"/>
    <n v="0"/>
  </r>
  <r>
    <s v="No"/>
    <s v="Travel_Rarely"/>
    <x v="0"/>
    <s v="Current Employees"/>
    <x v="1"/>
    <x v="2"/>
    <s v="STAFF-1375"/>
    <x v="978"/>
    <x v="0"/>
    <x v="4"/>
    <x v="2"/>
    <s v="No"/>
    <s v="Y"/>
    <n v="0"/>
    <n v="-2"/>
    <n v="0"/>
    <x v="32"/>
    <n v="0"/>
    <m/>
    <n v="0"/>
    <n v="1"/>
    <n v="1202"/>
    <n v="2"/>
    <x v="1"/>
    <n v="1"/>
    <n v="2"/>
    <n v="89"/>
    <n v="4"/>
    <n v="2"/>
    <n v="3"/>
    <n v="6377"/>
    <n v="13888"/>
    <n v="5"/>
    <n v="20"/>
    <n v="4"/>
    <n v="2"/>
    <n v="80"/>
    <n v="3"/>
    <n v="15"/>
    <n v="3"/>
    <n v="12"/>
    <n v="11"/>
    <n v="11"/>
    <n v="8"/>
  </r>
  <r>
    <s v="No"/>
    <s v="Travel_Rarely"/>
    <x v="2"/>
    <s v="Current Employees"/>
    <x v="1"/>
    <x v="2"/>
    <s v="STAFF-1377"/>
    <x v="979"/>
    <x v="1"/>
    <x v="2"/>
    <x v="1"/>
    <s v="No"/>
    <s v="Y"/>
    <n v="1"/>
    <n v="-2"/>
    <n v="0"/>
    <x v="13"/>
    <n v="0"/>
    <m/>
    <n v="0"/>
    <n v="1"/>
    <n v="285"/>
    <n v="29"/>
    <x v="3"/>
    <n v="1"/>
    <n v="2"/>
    <n v="86"/>
    <n v="3"/>
    <n v="2"/>
    <n v="3"/>
    <n v="5429"/>
    <n v="17491"/>
    <n v="4"/>
    <n v="13"/>
    <n v="3"/>
    <n v="1"/>
    <n v="80"/>
    <n v="2"/>
    <n v="10"/>
    <n v="3"/>
    <n v="8"/>
    <n v="7"/>
    <n v="7"/>
    <n v="7"/>
  </r>
  <r>
    <s v="Yes"/>
    <s v="Travel_Frequently"/>
    <x v="2"/>
    <s v="Ex-Employees"/>
    <x v="0"/>
    <x v="0"/>
    <s v="STAFF-1379"/>
    <x v="980"/>
    <x v="0"/>
    <x v="6"/>
    <x v="0"/>
    <s v="No"/>
    <s v="Y"/>
    <n v="3"/>
    <n v="-2"/>
    <n v="0"/>
    <x v="12"/>
    <n v="1"/>
    <n v="1"/>
    <n v="1"/>
    <n v="0"/>
    <n v="703"/>
    <n v="2"/>
    <x v="3"/>
    <n v="1"/>
    <n v="3"/>
    <n v="90"/>
    <n v="2"/>
    <n v="1"/>
    <n v="4"/>
    <n v="2785"/>
    <n v="11882"/>
    <n v="7"/>
    <n v="14"/>
    <n v="3"/>
    <n v="3"/>
    <n v="80"/>
    <n v="0"/>
    <n v="3"/>
    <n v="4"/>
    <n v="1"/>
    <n v="0"/>
    <n v="0"/>
    <n v="0"/>
  </r>
  <r>
    <s v="Yes"/>
    <s v="Travel_Frequently"/>
    <x v="0"/>
    <s v="Ex-Employees"/>
    <x v="0"/>
    <x v="3"/>
    <s v="STAFF-1380"/>
    <x v="981"/>
    <x v="0"/>
    <x v="0"/>
    <x v="1"/>
    <s v="Yes"/>
    <s v="Y"/>
    <n v="0"/>
    <n v="-2"/>
    <n v="0"/>
    <x v="10"/>
    <n v="1"/>
    <n v="1"/>
    <n v="1"/>
    <n v="0"/>
    <n v="662"/>
    <n v="18"/>
    <x v="2"/>
    <n v="1"/>
    <n v="4"/>
    <n v="67"/>
    <n v="3"/>
    <n v="2"/>
    <n v="2"/>
    <n v="4614"/>
    <n v="23288"/>
    <n v="0"/>
    <n v="18"/>
    <n v="3"/>
    <n v="3"/>
    <n v="80"/>
    <n v="1"/>
    <n v="5"/>
    <n v="2"/>
    <n v="4"/>
    <n v="2"/>
    <n v="3"/>
    <n v="2"/>
  </r>
  <r>
    <s v="No"/>
    <s v="Travel_Frequently"/>
    <x v="0"/>
    <s v="Current Employees"/>
    <x v="1"/>
    <x v="0"/>
    <s v="STAFF-1382"/>
    <x v="982"/>
    <x v="1"/>
    <x v="1"/>
    <x v="2"/>
    <s v="No"/>
    <s v="Y"/>
    <n v="2"/>
    <n v="-2"/>
    <n v="0"/>
    <x v="8"/>
    <n v="0"/>
    <m/>
    <n v="0"/>
    <n v="1"/>
    <n v="693"/>
    <n v="7"/>
    <x v="3"/>
    <n v="1"/>
    <n v="4"/>
    <n v="57"/>
    <n v="4"/>
    <n v="1"/>
    <n v="3"/>
    <n v="2610"/>
    <n v="15748"/>
    <n v="1"/>
    <n v="11"/>
    <n v="3"/>
    <n v="4"/>
    <n v="80"/>
    <n v="3"/>
    <n v="4"/>
    <n v="3"/>
    <n v="4"/>
    <n v="2"/>
    <n v="0"/>
    <n v="3"/>
  </r>
  <r>
    <s v="No"/>
    <s v="Travel_Rarely"/>
    <x v="2"/>
    <s v="Current Employees"/>
    <x v="1"/>
    <x v="4"/>
    <s v="STAFF-1383"/>
    <x v="983"/>
    <x v="0"/>
    <x v="4"/>
    <x v="0"/>
    <s v="No"/>
    <s v="Y"/>
    <n v="2"/>
    <n v="-2"/>
    <n v="0"/>
    <x v="13"/>
    <n v="0"/>
    <m/>
    <n v="0"/>
    <n v="1"/>
    <n v="404"/>
    <n v="2"/>
    <x v="2"/>
    <n v="1"/>
    <n v="4"/>
    <n v="98"/>
    <n v="3"/>
    <n v="2"/>
    <n v="4"/>
    <n v="6687"/>
    <n v="6163"/>
    <n v="1"/>
    <n v="11"/>
    <n v="3"/>
    <n v="4"/>
    <n v="80"/>
    <n v="0"/>
    <n v="14"/>
    <n v="4"/>
    <n v="14"/>
    <n v="11"/>
    <n v="4"/>
    <n v="11"/>
  </r>
  <r>
    <s v="No"/>
    <s v="Travel_Rarely"/>
    <x v="2"/>
    <s v="Current Employees"/>
    <x v="0"/>
    <x v="0"/>
    <s v="STAFF-1387"/>
    <x v="984"/>
    <x v="1"/>
    <x v="0"/>
    <x v="1"/>
    <s v="No"/>
    <s v="Y"/>
    <n v="0"/>
    <n v="-2"/>
    <n v="0"/>
    <x v="14"/>
    <n v="0"/>
    <m/>
    <n v="0"/>
    <n v="1"/>
    <n v="736"/>
    <n v="26"/>
    <x v="3"/>
    <n v="1"/>
    <n v="3"/>
    <n v="48"/>
    <n v="2"/>
    <n v="2"/>
    <n v="3"/>
    <n v="4724"/>
    <n v="24232"/>
    <n v="1"/>
    <n v="11"/>
    <n v="3"/>
    <n v="3"/>
    <n v="80"/>
    <n v="1"/>
    <n v="5"/>
    <n v="3"/>
    <n v="5"/>
    <n v="3"/>
    <n v="0"/>
    <n v="4"/>
  </r>
  <r>
    <s v="Yes"/>
    <s v="Travel_Rarely"/>
    <x v="2"/>
    <s v="Ex-Employees"/>
    <x v="1"/>
    <x v="2"/>
    <s v="STAFF-1389"/>
    <x v="985"/>
    <x v="1"/>
    <x v="3"/>
    <x v="1"/>
    <s v="Yes"/>
    <s v="Y"/>
    <n v="3"/>
    <n v="-2"/>
    <n v="0"/>
    <x v="12"/>
    <n v="1"/>
    <n v="1"/>
    <n v="1"/>
    <n v="0"/>
    <n v="330"/>
    <n v="22"/>
    <x v="2"/>
    <n v="1"/>
    <n v="4"/>
    <n v="98"/>
    <n v="3"/>
    <n v="2"/>
    <n v="3"/>
    <n v="6179"/>
    <n v="21057"/>
    <n v="1"/>
    <n v="15"/>
    <n v="3"/>
    <n v="4"/>
    <n v="80"/>
    <n v="2"/>
    <n v="10"/>
    <n v="2"/>
    <n v="10"/>
    <n v="2"/>
    <n v="6"/>
    <n v="7"/>
  </r>
  <r>
    <s v="No"/>
    <s v="Travel_Rarely"/>
    <x v="0"/>
    <s v="Current Employees"/>
    <x v="0"/>
    <x v="0"/>
    <s v="STAFF-1390"/>
    <x v="986"/>
    <x v="1"/>
    <x v="0"/>
    <x v="1"/>
    <s v="Yes"/>
    <s v="Y"/>
    <n v="2"/>
    <n v="-2"/>
    <n v="0"/>
    <x v="22"/>
    <n v="0"/>
    <m/>
    <n v="0"/>
    <n v="1"/>
    <n v="1498"/>
    <n v="21"/>
    <x v="2"/>
    <n v="1"/>
    <n v="1"/>
    <n v="44"/>
    <n v="2"/>
    <n v="2"/>
    <n v="4"/>
    <n v="6120"/>
    <n v="3567"/>
    <n v="3"/>
    <n v="12"/>
    <n v="3"/>
    <n v="4"/>
    <n v="80"/>
    <n v="2"/>
    <n v="8"/>
    <n v="4"/>
    <n v="5"/>
    <n v="4"/>
    <n v="1"/>
    <n v="4"/>
  </r>
  <r>
    <s v="No"/>
    <s v="Travel_Frequently"/>
    <x v="1"/>
    <s v="Current Employees"/>
    <x v="0"/>
    <x v="3"/>
    <s v="STAFF-1391"/>
    <x v="987"/>
    <x v="1"/>
    <x v="0"/>
    <x v="1"/>
    <s v="No"/>
    <s v="Y"/>
    <n v="5"/>
    <n v="-2"/>
    <n v="0"/>
    <x v="31"/>
    <n v="0"/>
    <m/>
    <n v="0"/>
    <n v="1"/>
    <n v="541"/>
    <n v="2"/>
    <x v="3"/>
    <n v="1"/>
    <n v="2"/>
    <n v="52"/>
    <n v="3"/>
    <n v="3"/>
    <n v="2"/>
    <n v="10596"/>
    <n v="15395"/>
    <n v="2"/>
    <n v="11"/>
    <n v="3"/>
    <n v="2"/>
    <n v="80"/>
    <n v="0"/>
    <n v="14"/>
    <n v="3"/>
    <n v="4"/>
    <n v="2"/>
    <n v="3"/>
    <n v="2"/>
  </r>
  <r>
    <s v="No"/>
    <s v="Travel_Frequently"/>
    <x v="0"/>
    <s v="Current Employees"/>
    <x v="1"/>
    <x v="0"/>
    <s v="STAFF-1392"/>
    <x v="988"/>
    <x v="0"/>
    <x v="1"/>
    <x v="2"/>
    <s v="Yes"/>
    <s v="Y"/>
    <n v="4"/>
    <n v="-2"/>
    <n v="0"/>
    <x v="0"/>
    <n v="0"/>
    <m/>
    <n v="0"/>
    <n v="1"/>
    <n v="1200"/>
    <n v="22"/>
    <x v="3"/>
    <n v="1"/>
    <n v="4"/>
    <n v="75"/>
    <n v="3"/>
    <n v="2"/>
    <n v="4"/>
    <n v="5467"/>
    <n v="13953"/>
    <n v="3"/>
    <n v="14"/>
    <n v="3"/>
    <n v="1"/>
    <n v="80"/>
    <n v="2"/>
    <n v="12"/>
    <n v="2"/>
    <n v="6"/>
    <n v="2"/>
    <n v="3"/>
    <n v="3"/>
  </r>
  <r>
    <s v="No"/>
    <s v="Travel_Rarely"/>
    <x v="0"/>
    <s v="Current Employees"/>
    <x v="1"/>
    <x v="0"/>
    <s v="STAFF-1394"/>
    <x v="989"/>
    <x v="1"/>
    <x v="1"/>
    <x v="1"/>
    <s v="Yes"/>
    <s v="Y"/>
    <n v="2"/>
    <n v="-2"/>
    <n v="0"/>
    <x v="2"/>
    <n v="0"/>
    <m/>
    <n v="0"/>
    <n v="1"/>
    <n v="1439"/>
    <n v="4"/>
    <x v="1"/>
    <n v="1"/>
    <n v="3"/>
    <n v="54"/>
    <n v="3"/>
    <n v="1"/>
    <n v="3"/>
    <n v="2996"/>
    <n v="5182"/>
    <n v="7"/>
    <n v="15"/>
    <n v="3"/>
    <n v="4"/>
    <n v="80"/>
    <n v="0"/>
    <n v="8"/>
    <n v="3"/>
    <n v="6"/>
    <n v="4"/>
    <n v="1"/>
    <n v="3"/>
  </r>
  <r>
    <s v="No"/>
    <s v="Travel_Frequently"/>
    <x v="2"/>
    <s v="Current Employees"/>
    <x v="0"/>
    <x v="0"/>
    <s v="STAFF-1395"/>
    <x v="990"/>
    <x v="1"/>
    <x v="0"/>
    <x v="1"/>
    <s v="No"/>
    <s v="Y"/>
    <n v="2"/>
    <n v="-2"/>
    <n v="0"/>
    <x v="3"/>
    <n v="0"/>
    <m/>
    <n v="0"/>
    <n v="1"/>
    <n v="1111"/>
    <n v="5"/>
    <x v="1"/>
    <n v="1"/>
    <n v="2"/>
    <n v="61"/>
    <n v="3"/>
    <n v="2"/>
    <n v="4"/>
    <n v="9998"/>
    <n v="19293"/>
    <n v="6"/>
    <n v="13"/>
    <n v="3"/>
    <n v="1"/>
    <n v="80"/>
    <n v="0"/>
    <n v="8"/>
    <n v="4"/>
    <n v="5"/>
    <n v="4"/>
    <n v="1"/>
    <n v="2"/>
  </r>
  <r>
    <s v="No"/>
    <s v="Travel_Rarely"/>
    <x v="2"/>
    <s v="Current Employees"/>
    <x v="0"/>
    <x v="3"/>
    <s v="STAFF-1396"/>
    <x v="991"/>
    <x v="1"/>
    <x v="0"/>
    <x v="1"/>
    <s v="Yes"/>
    <s v="Y"/>
    <n v="3"/>
    <n v="-2"/>
    <n v="0"/>
    <x v="5"/>
    <n v="0"/>
    <m/>
    <n v="0"/>
    <n v="1"/>
    <n v="499"/>
    <n v="2"/>
    <x v="1"/>
    <n v="1"/>
    <n v="3"/>
    <n v="36"/>
    <n v="3"/>
    <n v="2"/>
    <n v="2"/>
    <n v="4078"/>
    <n v="20497"/>
    <n v="0"/>
    <n v="13"/>
    <n v="3"/>
    <n v="1"/>
    <n v="80"/>
    <n v="3"/>
    <n v="4"/>
    <n v="2"/>
    <n v="3"/>
    <n v="2"/>
    <n v="1"/>
    <n v="2"/>
  </r>
  <r>
    <s v="No"/>
    <s v="Non-Travel"/>
    <x v="0"/>
    <s v="Current Employees"/>
    <x v="1"/>
    <x v="0"/>
    <s v="STAFF-1397"/>
    <x v="992"/>
    <x v="1"/>
    <x v="4"/>
    <x v="1"/>
    <s v="No"/>
    <s v="Y"/>
    <n v="2"/>
    <n v="-2"/>
    <n v="0"/>
    <x v="22"/>
    <n v="0"/>
    <m/>
    <n v="0"/>
    <n v="1"/>
    <n v="1485"/>
    <n v="25"/>
    <x v="0"/>
    <n v="1"/>
    <n v="3"/>
    <n v="71"/>
    <n v="3"/>
    <n v="3"/>
    <n v="3"/>
    <n v="10920"/>
    <n v="3449"/>
    <n v="3"/>
    <n v="21"/>
    <n v="4"/>
    <n v="2"/>
    <n v="80"/>
    <n v="1"/>
    <n v="13"/>
    <n v="3"/>
    <n v="6"/>
    <n v="4"/>
    <n v="0"/>
    <n v="5"/>
  </r>
  <r>
    <s v="No"/>
    <s v="Travel_Rarely"/>
    <x v="2"/>
    <s v="Current Employees"/>
    <x v="0"/>
    <x v="0"/>
    <s v="STAFF-1399"/>
    <x v="993"/>
    <x v="1"/>
    <x v="0"/>
    <x v="1"/>
    <s v="No"/>
    <s v="Y"/>
    <n v="3"/>
    <n v="-2"/>
    <n v="0"/>
    <x v="36"/>
    <n v="0"/>
    <m/>
    <n v="0"/>
    <n v="1"/>
    <n v="1372"/>
    <n v="18"/>
    <x v="1"/>
    <n v="1"/>
    <n v="1"/>
    <n v="93"/>
    <n v="4"/>
    <n v="2"/>
    <n v="3"/>
    <n v="6232"/>
    <n v="12477"/>
    <n v="2"/>
    <n v="11"/>
    <n v="3"/>
    <n v="2"/>
    <n v="80"/>
    <n v="0"/>
    <n v="6"/>
    <n v="2"/>
    <n v="3"/>
    <n v="2"/>
    <n v="1"/>
    <n v="2"/>
  </r>
  <r>
    <s v="No"/>
    <s v="Travel_Frequently"/>
    <x v="1"/>
    <s v="Current Employees"/>
    <x v="1"/>
    <x v="2"/>
    <s v="STAFF-1401"/>
    <x v="994"/>
    <x v="0"/>
    <x v="3"/>
    <x v="1"/>
    <s v="Yes"/>
    <s v="Y"/>
    <n v="3"/>
    <n v="-2"/>
    <n v="0"/>
    <x v="39"/>
    <n v="0"/>
    <m/>
    <n v="0"/>
    <n v="1"/>
    <n v="322"/>
    <n v="28"/>
    <x v="0"/>
    <n v="1"/>
    <n v="4"/>
    <n v="59"/>
    <n v="4"/>
    <n v="4"/>
    <n v="3"/>
    <n v="13247"/>
    <n v="9731"/>
    <n v="2"/>
    <n v="11"/>
    <n v="3"/>
    <n v="2"/>
    <n v="80"/>
    <n v="1"/>
    <n v="24"/>
    <n v="2"/>
    <n v="5"/>
    <n v="3"/>
    <n v="0"/>
    <n v="2"/>
  </r>
  <r>
    <s v="No"/>
    <s v="Travel_Rarely"/>
    <x v="0"/>
    <s v="Current Employees"/>
    <x v="1"/>
    <x v="2"/>
    <s v="STAFF-1402"/>
    <x v="995"/>
    <x v="0"/>
    <x v="1"/>
    <x v="0"/>
    <s v="Yes"/>
    <s v="Y"/>
    <n v="3"/>
    <n v="-2"/>
    <n v="0"/>
    <x v="23"/>
    <n v="0"/>
    <m/>
    <n v="0"/>
    <n v="1"/>
    <n v="930"/>
    <n v="6"/>
    <x v="3"/>
    <n v="1"/>
    <n v="1"/>
    <n v="73"/>
    <n v="2"/>
    <n v="2"/>
    <n v="3"/>
    <n v="4081"/>
    <n v="20003"/>
    <n v="1"/>
    <n v="14"/>
    <n v="3"/>
    <n v="1"/>
    <n v="80"/>
    <n v="0"/>
    <n v="20"/>
    <n v="1"/>
    <n v="20"/>
    <n v="7"/>
    <n v="1"/>
    <n v="8"/>
  </r>
  <r>
    <s v="No"/>
    <s v="Travel_Rarely"/>
    <x v="2"/>
    <s v="Current Employees"/>
    <x v="0"/>
    <x v="3"/>
    <s v="STAFF-1403"/>
    <x v="996"/>
    <x v="0"/>
    <x v="0"/>
    <x v="1"/>
    <s v="Yes"/>
    <s v="Y"/>
    <n v="3"/>
    <n v="-2"/>
    <n v="0"/>
    <x v="4"/>
    <n v="0"/>
    <m/>
    <n v="0"/>
    <n v="1"/>
    <n v="205"/>
    <n v="10"/>
    <x v="3"/>
    <n v="1"/>
    <n v="4"/>
    <n v="98"/>
    <n v="2"/>
    <n v="2"/>
    <n v="2"/>
    <n v="5769"/>
    <n v="7100"/>
    <n v="1"/>
    <n v="11"/>
    <n v="3"/>
    <n v="4"/>
    <n v="80"/>
    <n v="0"/>
    <n v="6"/>
    <n v="3"/>
    <n v="6"/>
    <n v="2"/>
    <n v="4"/>
    <n v="4"/>
  </r>
  <r>
    <s v="Yes"/>
    <s v="Travel_Rarely"/>
    <x v="2"/>
    <s v="Ex-Employees"/>
    <x v="1"/>
    <x v="0"/>
    <s v="STAFF-1405"/>
    <x v="997"/>
    <x v="0"/>
    <x v="1"/>
    <x v="0"/>
    <s v="Yes"/>
    <s v="Y"/>
    <n v="2"/>
    <n v="-2"/>
    <n v="0"/>
    <x v="4"/>
    <n v="1"/>
    <n v="1"/>
    <n v="1"/>
    <n v="0"/>
    <n v="135"/>
    <n v="17"/>
    <x v="2"/>
    <n v="1"/>
    <n v="4"/>
    <n v="51"/>
    <n v="3"/>
    <n v="1"/>
    <n v="3"/>
    <n v="2394"/>
    <n v="25681"/>
    <n v="1"/>
    <n v="13"/>
    <n v="3"/>
    <n v="4"/>
    <n v="80"/>
    <n v="0"/>
    <n v="8"/>
    <n v="3"/>
    <n v="8"/>
    <n v="2"/>
    <n v="7"/>
    <n v="7"/>
  </r>
  <r>
    <s v="No"/>
    <s v="Travel_Rarely"/>
    <x v="2"/>
    <s v="Current Employees"/>
    <x v="1"/>
    <x v="2"/>
    <s v="STAFF-1407"/>
    <x v="998"/>
    <x v="1"/>
    <x v="1"/>
    <x v="0"/>
    <s v="No"/>
    <s v="Y"/>
    <n v="2"/>
    <n v="-2"/>
    <n v="0"/>
    <x v="25"/>
    <n v="0"/>
    <m/>
    <n v="0"/>
    <n v="1"/>
    <n v="683"/>
    <n v="2"/>
    <x v="1"/>
    <n v="1"/>
    <n v="1"/>
    <n v="36"/>
    <n v="2"/>
    <n v="1"/>
    <n v="4"/>
    <n v="3904"/>
    <n v="4050"/>
    <n v="0"/>
    <n v="12"/>
    <n v="3"/>
    <n v="4"/>
    <n v="80"/>
    <n v="0"/>
    <n v="5"/>
    <n v="3"/>
    <n v="4"/>
    <n v="3"/>
    <n v="1"/>
    <n v="1"/>
  </r>
  <r>
    <s v="No"/>
    <s v="Travel_Rarely"/>
    <x v="0"/>
    <s v="Current Employees"/>
    <x v="2"/>
    <x v="5"/>
    <s v="STAFF-1408"/>
    <x v="999"/>
    <x v="0"/>
    <x v="5"/>
    <x v="1"/>
    <s v="No"/>
    <s v="Y"/>
    <n v="5"/>
    <n v="-2"/>
    <n v="0"/>
    <x v="19"/>
    <n v="0"/>
    <m/>
    <n v="0"/>
    <n v="1"/>
    <n v="1147"/>
    <n v="10"/>
    <x v="3"/>
    <n v="1"/>
    <n v="3"/>
    <n v="31"/>
    <n v="3"/>
    <n v="4"/>
    <n v="3"/>
    <n v="16799"/>
    <n v="16616"/>
    <n v="0"/>
    <n v="14"/>
    <n v="3"/>
    <n v="3"/>
    <n v="80"/>
    <n v="1"/>
    <n v="21"/>
    <n v="3"/>
    <n v="20"/>
    <n v="7"/>
    <n v="0"/>
    <n v="9"/>
  </r>
  <r>
    <s v="No"/>
    <s v="Non-Travel"/>
    <x v="2"/>
    <s v="Current Employees"/>
    <x v="1"/>
    <x v="2"/>
    <s v="STAFF-1955"/>
    <x v="1000"/>
    <x v="0"/>
    <x v="4"/>
    <x v="2"/>
    <s v="No"/>
    <s v="Y"/>
    <n v="6"/>
    <n v="-2"/>
    <n v="0"/>
    <x v="5"/>
    <n v="0"/>
    <m/>
    <n v="0"/>
    <n v="1"/>
    <n v="1146"/>
    <n v="15"/>
    <x v="2"/>
    <n v="1"/>
    <n v="3"/>
    <n v="34"/>
    <n v="3"/>
    <n v="2"/>
    <n v="4"/>
    <n v="6667"/>
    <n v="16542"/>
    <n v="5"/>
    <n v="18"/>
    <n v="3"/>
    <n v="2"/>
    <n v="80"/>
    <n v="1"/>
    <n v="9"/>
    <n v="3"/>
    <n v="5"/>
    <n v="1"/>
    <n v="1"/>
    <n v="2"/>
  </r>
  <r>
    <s v="No"/>
    <s v="Non-Travel"/>
    <x v="0"/>
    <s v="Current Employees"/>
    <x v="1"/>
    <x v="2"/>
    <s v="STAFF-1662"/>
    <x v="1001"/>
    <x v="0"/>
    <x v="3"/>
    <x v="1"/>
    <s v="No"/>
    <s v="Y"/>
    <n v="6"/>
    <n v="-2"/>
    <n v="0"/>
    <x v="9"/>
    <n v="0"/>
    <m/>
    <n v="0"/>
    <n v="1"/>
    <n v="894"/>
    <n v="1"/>
    <x v="2"/>
    <n v="1"/>
    <n v="4"/>
    <n v="33"/>
    <n v="2"/>
    <n v="2"/>
    <n v="3"/>
    <n v="4374"/>
    <n v="15411"/>
    <n v="0"/>
    <n v="15"/>
    <n v="3"/>
    <n v="3"/>
    <n v="80"/>
    <n v="0"/>
    <n v="4"/>
    <n v="3"/>
    <n v="3"/>
    <n v="2"/>
    <n v="1"/>
    <n v="2"/>
  </r>
  <r>
    <s v="No"/>
    <s v="Non-Travel"/>
    <x v="0"/>
    <s v="Current Employees"/>
    <x v="1"/>
    <x v="0"/>
    <s v="STAFF-1630"/>
    <x v="1002"/>
    <x v="0"/>
    <x v="4"/>
    <x v="1"/>
    <s v="No"/>
    <s v="Y"/>
    <n v="5"/>
    <n v="-2"/>
    <n v="0"/>
    <x v="10"/>
    <n v="0"/>
    <m/>
    <n v="0"/>
    <n v="1"/>
    <n v="208"/>
    <n v="8"/>
    <x v="2"/>
    <n v="1"/>
    <n v="3"/>
    <n v="52"/>
    <n v="3"/>
    <n v="2"/>
    <n v="3"/>
    <n v="4148"/>
    <n v="12250"/>
    <n v="1"/>
    <n v="12"/>
    <n v="3"/>
    <n v="4"/>
    <n v="80"/>
    <n v="1"/>
    <n v="15"/>
    <n v="3"/>
    <n v="14"/>
    <n v="11"/>
    <n v="2"/>
    <n v="9"/>
  </r>
  <r>
    <s v="No"/>
    <s v="Non-Travel"/>
    <x v="1"/>
    <s v="Current Employees"/>
    <x v="1"/>
    <x v="2"/>
    <s v="STAFF-2000"/>
    <x v="1003"/>
    <x v="0"/>
    <x v="7"/>
    <x v="1"/>
    <s v="No"/>
    <s v="Y"/>
    <n v="3"/>
    <n v="-2"/>
    <n v="0"/>
    <x v="40"/>
    <n v="0"/>
    <m/>
    <n v="0"/>
    <n v="1"/>
    <n v="1162"/>
    <n v="1"/>
    <x v="1"/>
    <n v="1"/>
    <n v="3"/>
    <n v="98"/>
    <n v="3"/>
    <n v="3"/>
    <n v="2"/>
    <n v="11957"/>
    <n v="17231"/>
    <n v="0"/>
    <n v="18"/>
    <n v="3"/>
    <n v="1"/>
    <n v="80"/>
    <n v="2"/>
    <n v="14"/>
    <n v="1"/>
    <n v="13"/>
    <n v="8"/>
    <n v="5"/>
    <n v="12"/>
  </r>
  <r>
    <s v="No"/>
    <s v="Non-Travel"/>
    <x v="4"/>
    <s v="Current Employees"/>
    <x v="1"/>
    <x v="2"/>
    <s v="STAFF-1839"/>
    <x v="1004"/>
    <x v="0"/>
    <x v="1"/>
    <x v="0"/>
    <s v="No"/>
    <s v="Y"/>
    <n v="4"/>
    <n v="-2"/>
    <n v="0"/>
    <x v="41"/>
    <n v="0"/>
    <m/>
    <n v="0"/>
    <n v="1"/>
    <n v="1431"/>
    <n v="14"/>
    <x v="3"/>
    <n v="1"/>
    <n v="2"/>
    <n v="33"/>
    <n v="3"/>
    <n v="1"/>
    <n v="3"/>
    <n v="1514"/>
    <n v="8018"/>
    <n v="1"/>
    <n v="16"/>
    <n v="3"/>
    <n v="3"/>
    <n v="80"/>
    <n v="0"/>
    <n v="0"/>
    <n v="1"/>
    <n v="0"/>
    <n v="0"/>
    <n v="0"/>
    <n v="0"/>
  </r>
  <r>
    <s v="No"/>
    <s v="Non-Travel"/>
    <x v="0"/>
    <s v="Current Employees"/>
    <x v="0"/>
    <x v="0"/>
    <s v="STAFF-1929"/>
    <x v="1005"/>
    <x v="0"/>
    <x v="0"/>
    <x v="1"/>
    <s v="No"/>
    <s v="Y"/>
    <n v="1"/>
    <n v="-2"/>
    <n v="0"/>
    <x v="22"/>
    <n v="0"/>
    <m/>
    <n v="0"/>
    <n v="1"/>
    <n v="1251"/>
    <n v="21"/>
    <x v="2"/>
    <n v="1"/>
    <n v="1"/>
    <n v="32"/>
    <n v="1"/>
    <n v="2"/>
    <n v="3"/>
    <n v="5736"/>
    <n v="3987"/>
    <n v="6"/>
    <n v="19"/>
    <n v="3"/>
    <n v="3"/>
    <n v="80"/>
    <n v="1"/>
    <n v="10"/>
    <n v="3"/>
    <n v="3"/>
    <n v="2"/>
    <n v="1"/>
    <n v="2"/>
  </r>
  <r>
    <s v="No"/>
    <s v="Non-Travel"/>
    <x v="4"/>
    <s v="Current Employees"/>
    <x v="0"/>
    <x v="0"/>
    <s v="STAFF-1495"/>
    <x v="1006"/>
    <x v="0"/>
    <x v="6"/>
    <x v="1"/>
    <s v="No"/>
    <s v="Y"/>
    <n v="2"/>
    <n v="-2"/>
    <n v="0"/>
    <x v="17"/>
    <n v="0"/>
    <m/>
    <n v="0"/>
    <n v="1"/>
    <n v="830"/>
    <n v="13"/>
    <x v="0"/>
    <n v="1"/>
    <n v="4"/>
    <n v="78"/>
    <n v="3"/>
    <n v="1"/>
    <n v="2"/>
    <n v="2033"/>
    <n v="7103"/>
    <n v="1"/>
    <n v="13"/>
    <n v="3"/>
    <n v="3"/>
    <n v="80"/>
    <n v="1"/>
    <n v="1"/>
    <n v="3"/>
    <n v="1"/>
    <n v="0"/>
    <n v="0"/>
    <n v="0"/>
  </r>
  <r>
    <s v="No"/>
    <s v="Non-Travel"/>
    <x v="2"/>
    <s v="Current Employees"/>
    <x v="0"/>
    <x v="3"/>
    <s v="STAFF-1756"/>
    <x v="1007"/>
    <x v="0"/>
    <x v="0"/>
    <x v="0"/>
    <s v="No"/>
    <s v="Y"/>
    <n v="2"/>
    <n v="-2"/>
    <n v="0"/>
    <x v="3"/>
    <n v="0"/>
    <m/>
    <n v="0"/>
    <n v="1"/>
    <n v="1283"/>
    <n v="2"/>
    <x v="3"/>
    <n v="1"/>
    <n v="4"/>
    <n v="62"/>
    <n v="3"/>
    <n v="2"/>
    <n v="2"/>
    <n v="5147"/>
    <n v="10697"/>
    <n v="8"/>
    <n v="15"/>
    <n v="3"/>
    <n v="4"/>
    <n v="80"/>
    <n v="0"/>
    <n v="13"/>
    <n v="2"/>
    <n v="11"/>
    <n v="7"/>
    <n v="1"/>
    <n v="7"/>
  </r>
  <r>
    <s v="No"/>
    <s v="Travel_Frequently"/>
    <x v="1"/>
    <s v="Current Employees"/>
    <x v="1"/>
    <x v="2"/>
    <s v="STAFF-1900"/>
    <x v="1008"/>
    <x v="0"/>
    <x v="5"/>
    <x v="2"/>
    <s v="No"/>
    <s v="Y"/>
    <n v="3"/>
    <n v="-2"/>
    <n v="0"/>
    <x v="26"/>
    <n v="0"/>
    <m/>
    <n v="0"/>
    <n v="1"/>
    <n v="117"/>
    <n v="22"/>
    <x v="3"/>
    <n v="1"/>
    <n v="4"/>
    <n v="58"/>
    <n v="3"/>
    <n v="4"/>
    <n v="4"/>
    <n v="17174"/>
    <n v="2437"/>
    <n v="3"/>
    <n v="11"/>
    <n v="3"/>
    <n v="2"/>
    <n v="80"/>
    <n v="1"/>
    <n v="24"/>
    <n v="3"/>
    <n v="22"/>
    <n v="17"/>
    <n v="4"/>
    <n v="7"/>
  </r>
  <r>
    <s v="No"/>
    <s v="Travel_Frequently"/>
    <x v="0"/>
    <s v="Current Employees"/>
    <x v="1"/>
    <x v="0"/>
    <s v="STAFF-2025"/>
    <x v="1009"/>
    <x v="0"/>
    <x v="3"/>
    <x v="2"/>
    <s v="No"/>
    <s v="Y"/>
    <n v="3"/>
    <n v="-2"/>
    <n v="0"/>
    <x v="9"/>
    <n v="0"/>
    <m/>
    <n v="0"/>
    <n v="1"/>
    <n v="688"/>
    <n v="4"/>
    <x v="0"/>
    <n v="1"/>
    <n v="4"/>
    <n v="97"/>
    <n v="3"/>
    <n v="2"/>
    <n v="2"/>
    <n v="5131"/>
    <n v="9192"/>
    <n v="7"/>
    <n v="13"/>
    <n v="3"/>
    <n v="2"/>
    <n v="80"/>
    <n v="3"/>
    <n v="18"/>
    <n v="3"/>
    <n v="4"/>
    <n v="2"/>
    <n v="0"/>
    <n v="2"/>
  </r>
  <r>
    <s v="No"/>
    <s v="Travel_Frequently"/>
    <x v="0"/>
    <s v="Current Employees"/>
    <x v="1"/>
    <x v="2"/>
    <s v="STAFF-1760"/>
    <x v="1010"/>
    <x v="0"/>
    <x v="2"/>
    <x v="1"/>
    <s v="No"/>
    <s v="Y"/>
    <n v="4"/>
    <n v="-2"/>
    <n v="0"/>
    <x v="8"/>
    <n v="0"/>
    <m/>
    <n v="0"/>
    <n v="1"/>
    <n v="594"/>
    <n v="2"/>
    <x v="0"/>
    <n v="1"/>
    <n v="3"/>
    <n v="75"/>
    <n v="2"/>
    <n v="1"/>
    <n v="2"/>
    <n v="2468"/>
    <n v="15963"/>
    <n v="4"/>
    <n v="14"/>
    <n v="3"/>
    <n v="2"/>
    <n v="80"/>
    <n v="1"/>
    <n v="9"/>
    <n v="2"/>
    <n v="6"/>
    <n v="1"/>
    <n v="0"/>
    <n v="5"/>
  </r>
  <r>
    <s v="No"/>
    <s v="Travel_Frequently"/>
    <x v="2"/>
    <s v="Current Employees"/>
    <x v="1"/>
    <x v="0"/>
    <s v="STAFF-1870"/>
    <x v="1011"/>
    <x v="0"/>
    <x v="1"/>
    <x v="1"/>
    <s v="No"/>
    <s v="Y"/>
    <n v="2"/>
    <n v="-2"/>
    <n v="0"/>
    <x v="4"/>
    <n v="0"/>
    <m/>
    <n v="0"/>
    <n v="1"/>
    <n v="1131"/>
    <n v="15"/>
    <x v="3"/>
    <n v="1"/>
    <n v="4"/>
    <n v="77"/>
    <n v="2"/>
    <n v="1"/>
    <n v="3"/>
    <n v="4774"/>
    <n v="23844"/>
    <n v="0"/>
    <n v="19"/>
    <n v="3"/>
    <n v="4"/>
    <n v="80"/>
    <n v="1"/>
    <n v="8"/>
    <n v="2"/>
    <n v="7"/>
    <n v="6"/>
    <n v="7"/>
    <n v="3"/>
  </r>
  <r>
    <s v="No"/>
    <s v="Travel_Frequently"/>
    <x v="0"/>
    <s v="Current Employees"/>
    <x v="1"/>
    <x v="4"/>
    <s v="STAFF-1985"/>
    <x v="1012"/>
    <x v="0"/>
    <x v="2"/>
    <x v="1"/>
    <s v="No"/>
    <s v="Y"/>
    <n v="2"/>
    <n v="-2"/>
    <n v="0"/>
    <x v="32"/>
    <n v="0"/>
    <m/>
    <n v="0"/>
    <n v="1"/>
    <n v="692"/>
    <n v="11"/>
    <x v="3"/>
    <n v="1"/>
    <n v="4"/>
    <n v="73"/>
    <n v="3"/>
    <n v="2"/>
    <n v="4"/>
    <n v="6323"/>
    <n v="26849"/>
    <n v="1"/>
    <n v="11"/>
    <n v="3"/>
    <n v="1"/>
    <n v="80"/>
    <n v="1"/>
    <n v="10"/>
    <n v="4"/>
    <n v="10"/>
    <n v="9"/>
    <n v="9"/>
    <n v="4"/>
  </r>
  <r>
    <s v="No"/>
    <s v="Travel_Frequently"/>
    <x v="2"/>
    <s v="Current Employees"/>
    <x v="1"/>
    <x v="0"/>
    <s v="STAFF-1513"/>
    <x v="1013"/>
    <x v="0"/>
    <x v="2"/>
    <x v="1"/>
    <s v="No"/>
    <s v="Y"/>
    <n v="3"/>
    <n v="-2"/>
    <n v="0"/>
    <x v="11"/>
    <n v="0"/>
    <m/>
    <n v="0"/>
    <n v="1"/>
    <n v="410"/>
    <n v="2"/>
    <x v="1"/>
    <n v="1"/>
    <n v="4"/>
    <n v="97"/>
    <n v="3"/>
    <n v="1"/>
    <n v="2"/>
    <n v="3180"/>
    <n v="4668"/>
    <n v="0"/>
    <n v="13"/>
    <n v="3"/>
    <n v="3"/>
    <n v="80"/>
    <n v="3"/>
    <n v="4"/>
    <n v="3"/>
    <n v="3"/>
    <n v="2"/>
    <n v="0"/>
    <n v="2"/>
  </r>
  <r>
    <s v="No"/>
    <s v="Travel_Frequently"/>
    <x v="0"/>
    <s v="Current Employees"/>
    <x v="1"/>
    <x v="2"/>
    <s v="STAFF-1633"/>
    <x v="1014"/>
    <x v="0"/>
    <x v="3"/>
    <x v="0"/>
    <s v="No"/>
    <s v="Y"/>
    <n v="2"/>
    <n v="-2"/>
    <n v="0"/>
    <x v="22"/>
    <n v="0"/>
    <m/>
    <n v="0"/>
    <n v="1"/>
    <n v="711"/>
    <n v="4"/>
    <x v="3"/>
    <n v="1"/>
    <n v="1"/>
    <n v="81"/>
    <n v="3"/>
    <n v="2"/>
    <n v="3"/>
    <n v="5042"/>
    <n v="3140"/>
    <n v="0"/>
    <n v="13"/>
    <n v="3"/>
    <n v="4"/>
    <n v="80"/>
    <n v="0"/>
    <n v="10"/>
    <n v="1"/>
    <n v="9"/>
    <n v="2"/>
    <n v="3"/>
    <n v="8"/>
  </r>
  <r>
    <s v="No"/>
    <s v="Travel_Frequently"/>
    <x v="0"/>
    <s v="Current Employees"/>
    <x v="1"/>
    <x v="2"/>
    <s v="STAFF-1480"/>
    <x v="1015"/>
    <x v="0"/>
    <x v="2"/>
    <x v="0"/>
    <s v="No"/>
    <s v="Y"/>
    <n v="3"/>
    <n v="-2"/>
    <n v="0"/>
    <x v="19"/>
    <n v="0"/>
    <m/>
    <n v="0"/>
    <n v="1"/>
    <n v="748"/>
    <n v="9"/>
    <x v="0"/>
    <n v="1"/>
    <n v="1"/>
    <n v="74"/>
    <n v="3"/>
    <n v="1"/>
    <n v="4"/>
    <n v="3673"/>
    <n v="16458"/>
    <n v="1"/>
    <n v="13"/>
    <n v="3"/>
    <n v="3"/>
    <n v="80"/>
    <n v="0"/>
    <n v="12"/>
    <n v="3"/>
    <n v="12"/>
    <n v="9"/>
    <n v="5"/>
    <n v="8"/>
  </r>
  <r>
    <s v="No"/>
    <s v="Travel_Frequently"/>
    <x v="2"/>
    <s v="Current Employees"/>
    <x v="1"/>
    <x v="4"/>
    <s v="STAFF-1745"/>
    <x v="1016"/>
    <x v="0"/>
    <x v="1"/>
    <x v="0"/>
    <s v="No"/>
    <s v="Y"/>
    <n v="2"/>
    <n v="-2"/>
    <n v="0"/>
    <x v="7"/>
    <n v="0"/>
    <m/>
    <n v="0"/>
    <n v="1"/>
    <n v="1312"/>
    <n v="2"/>
    <x v="2"/>
    <n v="1"/>
    <n v="4"/>
    <n v="78"/>
    <n v="2"/>
    <n v="1"/>
    <n v="4"/>
    <n v="4968"/>
    <n v="26427"/>
    <n v="0"/>
    <n v="16"/>
    <n v="3"/>
    <n v="4"/>
    <n v="80"/>
    <n v="0"/>
    <n v="10"/>
    <n v="3"/>
    <n v="9"/>
    <n v="7"/>
    <n v="0"/>
    <n v="7"/>
  </r>
  <r>
    <s v="No"/>
    <s v="Travel_Frequently"/>
    <x v="0"/>
    <s v="Current Employees"/>
    <x v="0"/>
    <x v="3"/>
    <s v="STAFF-1481"/>
    <x v="1017"/>
    <x v="0"/>
    <x v="0"/>
    <x v="1"/>
    <s v="No"/>
    <s v="Y"/>
    <n v="4"/>
    <n v="-2"/>
    <n v="0"/>
    <x v="20"/>
    <n v="0"/>
    <m/>
    <n v="0"/>
    <n v="1"/>
    <n v="383"/>
    <n v="1"/>
    <x v="4"/>
    <n v="1"/>
    <n v="1"/>
    <n v="79"/>
    <n v="3"/>
    <n v="2"/>
    <n v="2"/>
    <n v="4768"/>
    <n v="9282"/>
    <n v="7"/>
    <n v="12"/>
    <n v="3"/>
    <n v="3"/>
    <n v="80"/>
    <n v="1"/>
    <n v="11"/>
    <n v="2"/>
    <n v="1"/>
    <n v="0"/>
    <n v="0"/>
    <n v="0"/>
  </r>
  <r>
    <s v="No"/>
    <s v="Travel_Frequently"/>
    <x v="2"/>
    <s v="Current Employees"/>
    <x v="0"/>
    <x v="3"/>
    <s v="STAFF-1833"/>
    <x v="1018"/>
    <x v="0"/>
    <x v="0"/>
    <x v="1"/>
    <s v="No"/>
    <s v="Y"/>
    <n v="3"/>
    <n v="-2"/>
    <n v="0"/>
    <x v="12"/>
    <n v="0"/>
    <m/>
    <n v="0"/>
    <n v="1"/>
    <n v="1125"/>
    <n v="7"/>
    <x v="2"/>
    <n v="1"/>
    <n v="1"/>
    <n v="68"/>
    <n v="3"/>
    <n v="3"/>
    <n v="2"/>
    <n v="9637"/>
    <n v="8277"/>
    <n v="2"/>
    <n v="14"/>
    <n v="3"/>
    <n v="4"/>
    <n v="80"/>
    <n v="2"/>
    <n v="9"/>
    <n v="3"/>
    <n v="3"/>
    <n v="2"/>
    <n v="2"/>
    <n v="2"/>
  </r>
  <r>
    <s v="No"/>
    <s v="Travel_Rarely"/>
    <x v="2"/>
    <s v="Current Employees"/>
    <x v="2"/>
    <x v="5"/>
    <s v="STAFF-1987"/>
    <x v="1019"/>
    <x v="0"/>
    <x v="8"/>
    <x v="1"/>
    <s v="No"/>
    <s v="Y"/>
    <n v="3"/>
    <n v="-2"/>
    <n v="0"/>
    <x v="36"/>
    <n v="0"/>
    <m/>
    <n v="0"/>
    <n v="1"/>
    <n v="309"/>
    <n v="2"/>
    <x v="3"/>
    <n v="1"/>
    <n v="3"/>
    <n v="82"/>
    <n v="3"/>
    <n v="1"/>
    <n v="2"/>
    <n v="2187"/>
    <n v="19655"/>
    <n v="4"/>
    <n v="14"/>
    <n v="3"/>
    <n v="3"/>
    <n v="80"/>
    <n v="0"/>
    <n v="6"/>
    <n v="3"/>
    <n v="2"/>
    <n v="0"/>
    <n v="1"/>
    <n v="2"/>
  </r>
  <r>
    <s v="No"/>
    <s v="Travel_Rarely"/>
    <x v="1"/>
    <s v="Current Employees"/>
    <x v="2"/>
    <x v="0"/>
    <s v="STAFF-1625"/>
    <x v="1020"/>
    <x v="0"/>
    <x v="5"/>
    <x v="1"/>
    <s v="No"/>
    <s v="Y"/>
    <n v="2"/>
    <n v="-2"/>
    <n v="0"/>
    <x v="40"/>
    <n v="0"/>
    <m/>
    <n v="0"/>
    <n v="1"/>
    <n v="1176"/>
    <n v="26"/>
    <x v="2"/>
    <n v="1"/>
    <n v="4"/>
    <n v="98"/>
    <n v="3"/>
    <n v="5"/>
    <n v="3"/>
    <n v="19658"/>
    <n v="5220"/>
    <n v="3"/>
    <n v="11"/>
    <n v="3"/>
    <n v="3"/>
    <n v="80"/>
    <n v="1"/>
    <n v="27"/>
    <n v="3"/>
    <n v="5"/>
    <n v="2"/>
    <n v="1"/>
    <n v="0"/>
  </r>
  <r>
    <s v="No"/>
    <s v="Travel_Rarely"/>
    <x v="2"/>
    <s v="Current Employees"/>
    <x v="2"/>
    <x v="2"/>
    <s v="STAFF-1461"/>
    <x v="1021"/>
    <x v="0"/>
    <x v="8"/>
    <x v="0"/>
    <s v="No"/>
    <s v="Y"/>
    <n v="3"/>
    <n v="-2"/>
    <n v="0"/>
    <x v="12"/>
    <n v="0"/>
    <m/>
    <n v="0"/>
    <n v="1"/>
    <n v="1398"/>
    <n v="8"/>
    <x v="0"/>
    <n v="1"/>
    <n v="4"/>
    <n v="96"/>
    <n v="4"/>
    <n v="1"/>
    <n v="2"/>
    <n v="2109"/>
    <n v="24609"/>
    <n v="9"/>
    <n v="18"/>
    <n v="3"/>
    <n v="4"/>
    <n v="80"/>
    <n v="0"/>
    <n v="8"/>
    <n v="3"/>
    <n v="3"/>
    <n v="2"/>
    <n v="0"/>
    <n v="2"/>
  </r>
  <r>
    <s v="No"/>
    <s v="Travel_Rarely"/>
    <x v="2"/>
    <s v="Current Employees"/>
    <x v="1"/>
    <x v="2"/>
    <s v="STAFF-1916"/>
    <x v="1022"/>
    <x v="0"/>
    <x v="2"/>
    <x v="2"/>
    <s v="No"/>
    <s v="Y"/>
    <n v="0"/>
    <n v="-2"/>
    <n v="0"/>
    <x v="12"/>
    <n v="0"/>
    <m/>
    <n v="0"/>
    <n v="1"/>
    <n v="471"/>
    <n v="4"/>
    <x v="3"/>
    <n v="1"/>
    <n v="1"/>
    <n v="62"/>
    <n v="4"/>
    <n v="1"/>
    <n v="3"/>
    <n v="3978"/>
    <n v="16031"/>
    <n v="8"/>
    <n v="12"/>
    <n v="3"/>
    <n v="2"/>
    <n v="80"/>
    <n v="1"/>
    <n v="4"/>
    <n v="2"/>
    <n v="2"/>
    <n v="2"/>
    <n v="2"/>
    <n v="2"/>
  </r>
  <r>
    <s v="No"/>
    <s v="Travel_Rarely"/>
    <x v="0"/>
    <s v="Current Employees"/>
    <x v="1"/>
    <x v="0"/>
    <s v="STAFF-1829"/>
    <x v="1023"/>
    <x v="0"/>
    <x v="4"/>
    <x v="2"/>
    <s v="No"/>
    <s v="Y"/>
    <n v="3"/>
    <n v="-2"/>
    <n v="0"/>
    <x v="32"/>
    <n v="0"/>
    <m/>
    <n v="0"/>
    <n v="1"/>
    <n v="750"/>
    <n v="12"/>
    <x v="3"/>
    <n v="1"/>
    <n v="2"/>
    <n v="47"/>
    <n v="3"/>
    <n v="2"/>
    <n v="3"/>
    <n v="4448"/>
    <n v="10748"/>
    <n v="2"/>
    <n v="12"/>
    <n v="3"/>
    <n v="2"/>
    <n v="80"/>
    <n v="1"/>
    <n v="15"/>
    <n v="3"/>
    <n v="7"/>
    <n v="4"/>
    <n v="7"/>
    <n v="7"/>
  </r>
  <r>
    <s v="No"/>
    <s v="Travel_Rarely"/>
    <x v="0"/>
    <s v="Current Employees"/>
    <x v="1"/>
    <x v="0"/>
    <s v="STAFF-1822"/>
    <x v="1024"/>
    <x v="0"/>
    <x v="4"/>
    <x v="2"/>
    <s v="No"/>
    <s v="Y"/>
    <n v="3"/>
    <n v="-2"/>
    <n v="0"/>
    <x v="32"/>
    <n v="0"/>
    <m/>
    <n v="0"/>
    <n v="1"/>
    <n v="1194"/>
    <n v="1"/>
    <x v="3"/>
    <n v="1"/>
    <n v="3"/>
    <n v="52"/>
    <n v="3"/>
    <n v="2"/>
    <n v="4"/>
    <n v="6513"/>
    <n v="9060"/>
    <n v="4"/>
    <n v="17"/>
    <n v="3"/>
    <n v="4"/>
    <n v="80"/>
    <n v="1"/>
    <n v="12"/>
    <n v="3"/>
    <n v="5"/>
    <n v="3"/>
    <n v="0"/>
    <n v="3"/>
  </r>
  <r>
    <s v="No"/>
    <s v="Travel_Rarely"/>
    <x v="2"/>
    <s v="Current Employees"/>
    <x v="1"/>
    <x v="4"/>
    <s v="STAFF-1762"/>
    <x v="1025"/>
    <x v="0"/>
    <x v="1"/>
    <x v="2"/>
    <s v="No"/>
    <s v="Y"/>
    <n v="2"/>
    <n v="-2"/>
    <n v="0"/>
    <x v="11"/>
    <n v="0"/>
    <m/>
    <n v="0"/>
    <n v="1"/>
    <n v="590"/>
    <n v="4"/>
    <x v="3"/>
    <n v="1"/>
    <n v="4"/>
    <n v="91"/>
    <n v="2"/>
    <n v="1"/>
    <n v="4"/>
    <n v="2109"/>
    <n v="10007"/>
    <n v="1"/>
    <n v="13"/>
    <n v="3"/>
    <n v="3"/>
    <n v="80"/>
    <n v="1"/>
    <n v="1"/>
    <n v="3"/>
    <n v="1"/>
    <n v="0"/>
    <n v="0"/>
    <n v="0"/>
  </r>
  <r>
    <s v="No"/>
    <s v="Travel_Rarely"/>
    <x v="2"/>
    <s v="Current Employees"/>
    <x v="1"/>
    <x v="0"/>
    <s v="STAFF-1658"/>
    <x v="1026"/>
    <x v="0"/>
    <x v="1"/>
    <x v="2"/>
    <s v="No"/>
    <s v="Y"/>
    <n v="2"/>
    <n v="-2"/>
    <n v="0"/>
    <x v="13"/>
    <n v="0"/>
    <m/>
    <n v="0"/>
    <n v="1"/>
    <n v="1130"/>
    <n v="3"/>
    <x v="3"/>
    <n v="1"/>
    <n v="4"/>
    <n v="66"/>
    <n v="3"/>
    <n v="2"/>
    <n v="2"/>
    <n v="5433"/>
    <n v="19332"/>
    <n v="1"/>
    <n v="12"/>
    <n v="3"/>
    <n v="3"/>
    <n v="80"/>
    <n v="1"/>
    <n v="11"/>
    <n v="3"/>
    <n v="11"/>
    <n v="8"/>
    <n v="7"/>
    <n v="9"/>
  </r>
  <r>
    <s v="No"/>
    <s v="Travel_Rarely"/>
    <x v="1"/>
    <s v="Current Employees"/>
    <x v="1"/>
    <x v="1"/>
    <s v="STAFF-1635"/>
    <x v="1027"/>
    <x v="0"/>
    <x v="3"/>
    <x v="2"/>
    <s v="No"/>
    <s v="Y"/>
    <n v="3"/>
    <n v="-2"/>
    <n v="0"/>
    <x v="28"/>
    <n v="0"/>
    <m/>
    <n v="0"/>
    <n v="1"/>
    <n v="1329"/>
    <n v="2"/>
    <x v="0"/>
    <n v="1"/>
    <n v="4"/>
    <n v="59"/>
    <n v="2"/>
    <n v="2"/>
    <n v="4"/>
    <n v="5770"/>
    <n v="5388"/>
    <n v="1"/>
    <n v="19"/>
    <n v="3"/>
    <n v="1"/>
    <n v="80"/>
    <n v="2"/>
    <n v="10"/>
    <n v="3"/>
    <n v="10"/>
    <n v="7"/>
    <n v="3"/>
    <n v="9"/>
  </r>
  <r>
    <s v="No"/>
    <s v="Travel_Rarely"/>
    <x v="1"/>
    <s v="Current Employees"/>
    <x v="1"/>
    <x v="0"/>
    <s v="STAFF-1656"/>
    <x v="1028"/>
    <x v="0"/>
    <x v="7"/>
    <x v="2"/>
    <s v="No"/>
    <s v="Y"/>
    <n v="3"/>
    <n v="-2"/>
    <n v="0"/>
    <x v="24"/>
    <n v="0"/>
    <m/>
    <n v="0"/>
    <n v="1"/>
    <n v="813"/>
    <n v="17"/>
    <x v="4"/>
    <n v="1"/>
    <n v="4"/>
    <n v="50"/>
    <n v="2"/>
    <n v="3"/>
    <n v="3"/>
    <n v="13269"/>
    <n v="21981"/>
    <n v="5"/>
    <n v="15"/>
    <n v="3"/>
    <n v="3"/>
    <n v="80"/>
    <n v="3"/>
    <n v="19"/>
    <n v="3"/>
    <n v="14"/>
    <n v="11"/>
    <n v="1"/>
    <n v="11"/>
  </r>
  <r>
    <s v="No"/>
    <s v="Travel_Rarely"/>
    <x v="2"/>
    <s v="Current Employees"/>
    <x v="1"/>
    <x v="2"/>
    <s v="STAFF-1502"/>
    <x v="1029"/>
    <x v="0"/>
    <x v="2"/>
    <x v="1"/>
    <s v="No"/>
    <s v="Y"/>
    <n v="5"/>
    <n v="-2"/>
    <n v="0"/>
    <x v="3"/>
    <n v="0"/>
    <m/>
    <n v="0"/>
    <n v="1"/>
    <n v="1099"/>
    <n v="4"/>
    <x v="2"/>
    <n v="1"/>
    <n v="1"/>
    <n v="82"/>
    <n v="2"/>
    <n v="1"/>
    <n v="2"/>
    <n v="3838"/>
    <n v="8192"/>
    <n v="8"/>
    <n v="11"/>
    <n v="3"/>
    <n v="4"/>
    <n v="80"/>
    <n v="0"/>
    <n v="8"/>
    <n v="3"/>
    <n v="5"/>
    <n v="4"/>
    <n v="0"/>
    <n v="2"/>
  </r>
  <r>
    <s v="No"/>
    <s v="Travel_Rarely"/>
    <x v="0"/>
    <s v="Current Employees"/>
    <x v="1"/>
    <x v="2"/>
    <s v="STAFF-1866"/>
    <x v="1030"/>
    <x v="0"/>
    <x v="5"/>
    <x v="1"/>
    <s v="No"/>
    <s v="Y"/>
    <n v="2"/>
    <n v="-2"/>
    <n v="0"/>
    <x v="23"/>
    <n v="0"/>
    <m/>
    <n v="0"/>
    <n v="1"/>
    <n v="823"/>
    <n v="6"/>
    <x v="3"/>
    <n v="1"/>
    <n v="1"/>
    <n v="81"/>
    <n v="2"/>
    <n v="5"/>
    <n v="3"/>
    <n v="19392"/>
    <n v="22539"/>
    <n v="7"/>
    <n v="13"/>
    <n v="3"/>
    <n v="4"/>
    <n v="80"/>
    <n v="0"/>
    <n v="21"/>
    <n v="3"/>
    <n v="16"/>
    <n v="12"/>
    <n v="6"/>
    <n v="14"/>
  </r>
  <r>
    <s v="No"/>
    <s v="Travel_Rarely"/>
    <x v="1"/>
    <s v="Current Employees"/>
    <x v="1"/>
    <x v="4"/>
    <s v="STAFF-1786"/>
    <x v="1031"/>
    <x v="0"/>
    <x v="5"/>
    <x v="1"/>
    <s v="No"/>
    <s v="Y"/>
    <n v="2"/>
    <n v="-2"/>
    <n v="0"/>
    <x v="31"/>
    <n v="0"/>
    <m/>
    <n v="0"/>
    <n v="1"/>
    <n v="942"/>
    <n v="3"/>
    <x v="3"/>
    <n v="1"/>
    <n v="4"/>
    <n v="53"/>
    <n v="3"/>
    <n v="3"/>
    <n v="4"/>
    <n v="13116"/>
    <n v="22984"/>
    <n v="2"/>
    <n v="11"/>
    <n v="3"/>
    <n v="4"/>
    <n v="80"/>
    <n v="0"/>
    <n v="15"/>
    <n v="3"/>
    <n v="2"/>
    <n v="2"/>
    <n v="2"/>
    <n v="2"/>
  </r>
  <r>
    <s v="No"/>
    <s v="Travel_Rarely"/>
    <x v="2"/>
    <s v="Current Employees"/>
    <x v="1"/>
    <x v="0"/>
    <s v="STAFF-1701"/>
    <x v="1032"/>
    <x v="0"/>
    <x v="1"/>
    <x v="1"/>
    <s v="No"/>
    <s v="Y"/>
    <n v="3"/>
    <n v="-2"/>
    <n v="0"/>
    <x v="13"/>
    <n v="0"/>
    <m/>
    <n v="0"/>
    <n v="1"/>
    <n v="678"/>
    <n v="19"/>
    <x v="3"/>
    <n v="1"/>
    <n v="2"/>
    <n v="35"/>
    <n v="2"/>
    <n v="1"/>
    <n v="4"/>
    <n v="2929"/>
    <n v="20338"/>
    <n v="1"/>
    <n v="12"/>
    <n v="3"/>
    <n v="2"/>
    <n v="80"/>
    <n v="0"/>
    <n v="10"/>
    <n v="3"/>
    <n v="10"/>
    <n v="9"/>
    <n v="8"/>
    <n v="7"/>
  </r>
  <r>
    <s v="No"/>
    <s v="Travel_Rarely"/>
    <x v="2"/>
    <s v="Current Employees"/>
    <x v="1"/>
    <x v="2"/>
    <s v="STAFF-1647"/>
    <x v="1033"/>
    <x v="0"/>
    <x v="1"/>
    <x v="1"/>
    <s v="No"/>
    <s v="Y"/>
    <n v="0"/>
    <n v="-2"/>
    <n v="0"/>
    <x v="4"/>
    <n v="0"/>
    <m/>
    <n v="0"/>
    <n v="1"/>
    <n v="486"/>
    <n v="8"/>
    <x v="3"/>
    <n v="1"/>
    <n v="2"/>
    <n v="86"/>
    <n v="4"/>
    <n v="1"/>
    <n v="3"/>
    <n v="3517"/>
    <n v="22490"/>
    <n v="7"/>
    <n v="17"/>
    <n v="3"/>
    <n v="1"/>
    <n v="80"/>
    <n v="0"/>
    <n v="5"/>
    <n v="3"/>
    <n v="3"/>
    <n v="2"/>
    <n v="0"/>
    <n v="2"/>
  </r>
  <r>
    <s v="No"/>
    <s v="Travel_Rarely"/>
    <x v="1"/>
    <s v="Current Employees"/>
    <x v="1"/>
    <x v="1"/>
    <s v="STAFF-1409"/>
    <x v="1034"/>
    <x v="0"/>
    <x v="2"/>
    <x v="1"/>
    <s v="No"/>
    <s v="Y"/>
    <n v="2"/>
    <n v="-2"/>
    <n v="0"/>
    <x v="39"/>
    <n v="0"/>
    <m/>
    <n v="0"/>
    <n v="1"/>
    <n v="258"/>
    <n v="8"/>
    <x v="2"/>
    <n v="1"/>
    <n v="3"/>
    <n v="54"/>
    <n v="3"/>
    <n v="1"/>
    <n v="3"/>
    <n v="2950"/>
    <n v="17363"/>
    <n v="9"/>
    <n v="13"/>
    <n v="3"/>
    <n v="3"/>
    <n v="80"/>
    <n v="0"/>
    <n v="12"/>
    <n v="1"/>
    <n v="5"/>
    <n v="4"/>
    <n v="0"/>
    <n v="4"/>
  </r>
  <r>
    <s v="No"/>
    <s v="Travel_Rarely"/>
    <x v="0"/>
    <s v="Current Employees"/>
    <x v="1"/>
    <x v="2"/>
    <s v="STAFF-2015"/>
    <x v="1035"/>
    <x v="0"/>
    <x v="7"/>
    <x v="1"/>
    <s v="No"/>
    <s v="Y"/>
    <n v="3"/>
    <n v="-2"/>
    <n v="0"/>
    <x v="8"/>
    <n v="0"/>
    <m/>
    <n v="0"/>
    <n v="1"/>
    <n v="201"/>
    <n v="10"/>
    <x v="3"/>
    <n v="1"/>
    <n v="2"/>
    <n v="99"/>
    <n v="1"/>
    <n v="3"/>
    <n v="3"/>
    <n v="13206"/>
    <n v="3376"/>
    <n v="3"/>
    <n v="12"/>
    <n v="3"/>
    <n v="1"/>
    <n v="80"/>
    <n v="1"/>
    <n v="20"/>
    <n v="3"/>
    <n v="18"/>
    <n v="16"/>
    <n v="1"/>
    <n v="11"/>
  </r>
  <r>
    <s v="No"/>
    <s v="Travel_Rarely"/>
    <x v="0"/>
    <s v="Current Employees"/>
    <x v="1"/>
    <x v="2"/>
    <s v="STAFF-1640"/>
    <x v="1036"/>
    <x v="0"/>
    <x v="1"/>
    <x v="1"/>
    <s v="No"/>
    <s v="Y"/>
    <n v="2"/>
    <n v="-2"/>
    <n v="0"/>
    <x v="2"/>
    <n v="0"/>
    <m/>
    <n v="0"/>
    <n v="1"/>
    <n v="1470"/>
    <n v="10"/>
    <x v="3"/>
    <n v="1"/>
    <n v="2"/>
    <n v="71"/>
    <n v="3"/>
    <n v="1"/>
    <n v="2"/>
    <n v="3936"/>
    <n v="9953"/>
    <n v="1"/>
    <n v="11"/>
    <n v="3"/>
    <n v="1"/>
    <n v="80"/>
    <n v="1"/>
    <n v="8"/>
    <n v="1"/>
    <n v="8"/>
    <n v="4"/>
    <n v="7"/>
    <n v="7"/>
  </r>
  <r>
    <s v="No"/>
    <s v="Travel_Rarely"/>
    <x v="2"/>
    <s v="Current Employees"/>
    <x v="1"/>
    <x v="1"/>
    <s v="STAFF-1544"/>
    <x v="1037"/>
    <x v="0"/>
    <x v="4"/>
    <x v="1"/>
    <s v="No"/>
    <s v="Y"/>
    <n v="3"/>
    <n v="-2"/>
    <n v="0"/>
    <x v="11"/>
    <n v="0"/>
    <m/>
    <n v="0"/>
    <n v="1"/>
    <n v="441"/>
    <n v="8"/>
    <x v="1"/>
    <n v="1"/>
    <n v="3"/>
    <n v="39"/>
    <n v="1"/>
    <n v="2"/>
    <n v="3"/>
    <n v="9715"/>
    <n v="7288"/>
    <n v="3"/>
    <n v="13"/>
    <n v="3"/>
    <n v="3"/>
    <n v="80"/>
    <n v="1"/>
    <n v="9"/>
    <n v="3"/>
    <n v="7"/>
    <n v="7"/>
    <n v="0"/>
    <n v="7"/>
  </r>
  <r>
    <s v="No"/>
    <s v="Travel_Rarely"/>
    <x v="0"/>
    <s v="Current Employees"/>
    <x v="1"/>
    <x v="0"/>
    <s v="STAFF-2052"/>
    <x v="1038"/>
    <x v="0"/>
    <x v="1"/>
    <x v="1"/>
    <s v="No"/>
    <s v="Y"/>
    <n v="5"/>
    <n v="-2"/>
    <n v="0"/>
    <x v="10"/>
    <n v="0"/>
    <m/>
    <n v="0"/>
    <n v="1"/>
    <n v="287"/>
    <n v="1"/>
    <x v="2"/>
    <n v="1"/>
    <n v="3"/>
    <n v="62"/>
    <n v="1"/>
    <n v="1"/>
    <n v="4"/>
    <n v="2977"/>
    <n v="8952"/>
    <n v="1"/>
    <n v="12"/>
    <n v="3"/>
    <n v="4"/>
    <n v="80"/>
    <n v="1"/>
    <n v="4"/>
    <n v="3"/>
    <n v="4"/>
    <n v="3"/>
    <n v="1"/>
    <n v="1"/>
  </r>
  <r>
    <s v="No"/>
    <s v="Travel_Rarely"/>
    <x v="0"/>
    <s v="Current Employees"/>
    <x v="1"/>
    <x v="0"/>
    <s v="STAFF-1802"/>
    <x v="1039"/>
    <x v="0"/>
    <x v="2"/>
    <x v="1"/>
    <s v="No"/>
    <s v="Y"/>
    <n v="5"/>
    <n v="-2"/>
    <n v="0"/>
    <x v="32"/>
    <n v="0"/>
    <m/>
    <n v="0"/>
    <n v="1"/>
    <n v="616"/>
    <n v="2"/>
    <x v="0"/>
    <n v="1"/>
    <n v="3"/>
    <n v="99"/>
    <n v="3"/>
    <n v="1"/>
    <n v="3"/>
    <n v="3377"/>
    <n v="25605"/>
    <n v="4"/>
    <n v="17"/>
    <n v="3"/>
    <n v="4"/>
    <n v="80"/>
    <n v="1"/>
    <n v="7"/>
    <n v="2"/>
    <n v="4"/>
    <n v="3"/>
    <n v="0"/>
    <n v="2"/>
  </r>
  <r>
    <s v="No"/>
    <s v="Travel_Rarely"/>
    <x v="1"/>
    <s v="Current Employees"/>
    <x v="1"/>
    <x v="0"/>
    <s v="STAFF-1617"/>
    <x v="1040"/>
    <x v="0"/>
    <x v="2"/>
    <x v="1"/>
    <s v="No"/>
    <s v="Y"/>
    <n v="3"/>
    <n v="-2"/>
    <n v="0"/>
    <x v="1"/>
    <n v="0"/>
    <m/>
    <n v="0"/>
    <n v="1"/>
    <n v="722"/>
    <n v="25"/>
    <x v="2"/>
    <n v="1"/>
    <n v="3"/>
    <n v="84"/>
    <n v="3"/>
    <n v="1"/>
    <n v="3"/>
    <n v="3211"/>
    <n v="22102"/>
    <n v="1"/>
    <n v="14"/>
    <n v="3"/>
    <n v="4"/>
    <n v="80"/>
    <n v="1"/>
    <n v="10"/>
    <n v="2"/>
    <n v="9"/>
    <n v="6"/>
    <n v="1"/>
    <n v="4"/>
  </r>
  <r>
    <s v="No"/>
    <s v="Travel_Rarely"/>
    <x v="1"/>
    <s v="Current Employees"/>
    <x v="1"/>
    <x v="1"/>
    <s v="STAFF-1576"/>
    <x v="1041"/>
    <x v="0"/>
    <x v="1"/>
    <x v="1"/>
    <s v="No"/>
    <s v="Y"/>
    <n v="3"/>
    <n v="-2"/>
    <n v="0"/>
    <x v="26"/>
    <n v="0"/>
    <m/>
    <n v="0"/>
    <n v="1"/>
    <n v="1108"/>
    <n v="15"/>
    <x v="2"/>
    <n v="1"/>
    <n v="3"/>
    <n v="65"/>
    <n v="3"/>
    <n v="1"/>
    <n v="3"/>
    <n v="2367"/>
    <n v="16530"/>
    <n v="8"/>
    <n v="12"/>
    <n v="3"/>
    <n v="4"/>
    <n v="80"/>
    <n v="1"/>
    <n v="10"/>
    <n v="2"/>
    <n v="8"/>
    <n v="2"/>
    <n v="7"/>
    <n v="6"/>
  </r>
  <r>
    <s v="No"/>
    <s v="Travel_Rarely"/>
    <x v="2"/>
    <s v="Current Employees"/>
    <x v="1"/>
    <x v="0"/>
    <s v="STAFF-1447"/>
    <x v="1042"/>
    <x v="0"/>
    <x v="2"/>
    <x v="1"/>
    <s v="No"/>
    <s v="Y"/>
    <n v="2"/>
    <n v="-2"/>
    <n v="0"/>
    <x v="13"/>
    <n v="0"/>
    <m/>
    <n v="0"/>
    <n v="1"/>
    <n v="401"/>
    <n v="1"/>
    <x v="3"/>
    <n v="1"/>
    <n v="4"/>
    <n v="86"/>
    <n v="2"/>
    <n v="1"/>
    <n v="2"/>
    <n v="3294"/>
    <n v="3708"/>
    <n v="5"/>
    <n v="17"/>
    <n v="3"/>
    <n v="1"/>
    <n v="80"/>
    <n v="1"/>
    <n v="7"/>
    <n v="2"/>
    <n v="5"/>
    <n v="4"/>
    <n v="0"/>
    <n v="2"/>
  </r>
  <r>
    <s v="No"/>
    <s v="Travel_Rarely"/>
    <x v="2"/>
    <s v="Current Employees"/>
    <x v="1"/>
    <x v="0"/>
    <s v="STAFF-1555"/>
    <x v="1043"/>
    <x v="0"/>
    <x v="1"/>
    <x v="1"/>
    <s v="No"/>
    <s v="Y"/>
    <n v="2"/>
    <n v="-2"/>
    <n v="0"/>
    <x v="5"/>
    <n v="0"/>
    <m/>
    <n v="0"/>
    <n v="1"/>
    <n v="824"/>
    <n v="5"/>
    <x v="0"/>
    <n v="1"/>
    <n v="4"/>
    <n v="67"/>
    <n v="2"/>
    <n v="2"/>
    <n v="2"/>
    <n v="5878"/>
    <n v="15624"/>
    <n v="3"/>
    <n v="12"/>
    <n v="3"/>
    <n v="1"/>
    <n v="80"/>
    <n v="1"/>
    <n v="12"/>
    <n v="3"/>
    <n v="7"/>
    <n v="1"/>
    <n v="2"/>
    <n v="5"/>
  </r>
  <r>
    <s v="No"/>
    <s v="Travel_Rarely"/>
    <x v="0"/>
    <s v="Current Employees"/>
    <x v="1"/>
    <x v="1"/>
    <s v="STAFF-1782"/>
    <x v="1044"/>
    <x v="0"/>
    <x v="2"/>
    <x v="1"/>
    <s v="No"/>
    <s v="Y"/>
    <n v="3"/>
    <n v="-2"/>
    <n v="0"/>
    <x v="8"/>
    <n v="0"/>
    <m/>
    <n v="0"/>
    <n v="1"/>
    <n v="1153"/>
    <n v="6"/>
    <x v="0"/>
    <n v="1"/>
    <n v="4"/>
    <n v="40"/>
    <n v="2"/>
    <n v="1"/>
    <n v="3"/>
    <n v="3702"/>
    <n v="16376"/>
    <n v="1"/>
    <n v="11"/>
    <n v="3"/>
    <n v="2"/>
    <n v="80"/>
    <n v="1"/>
    <n v="5"/>
    <n v="3"/>
    <n v="5"/>
    <n v="4"/>
    <n v="0"/>
    <n v="4"/>
  </r>
  <r>
    <s v="No"/>
    <s v="Travel_Rarely"/>
    <x v="0"/>
    <s v="Current Employees"/>
    <x v="1"/>
    <x v="2"/>
    <s v="STAFF-1687"/>
    <x v="1045"/>
    <x v="0"/>
    <x v="2"/>
    <x v="1"/>
    <s v="No"/>
    <s v="Y"/>
    <n v="5"/>
    <n v="-2"/>
    <n v="0"/>
    <x v="8"/>
    <n v="0"/>
    <m/>
    <n v="0"/>
    <n v="1"/>
    <n v="1495"/>
    <n v="4"/>
    <x v="0"/>
    <n v="1"/>
    <n v="4"/>
    <n v="87"/>
    <n v="3"/>
    <n v="1"/>
    <n v="3"/>
    <n v="3306"/>
    <n v="26176"/>
    <n v="7"/>
    <n v="19"/>
    <n v="3"/>
    <n v="4"/>
    <n v="80"/>
    <n v="1"/>
    <n v="7"/>
    <n v="2"/>
    <n v="0"/>
    <n v="0"/>
    <n v="0"/>
    <n v="0"/>
  </r>
  <r>
    <s v="No"/>
    <s v="Travel_Rarely"/>
    <x v="2"/>
    <s v="Current Employees"/>
    <x v="1"/>
    <x v="2"/>
    <s v="STAFF-1709"/>
    <x v="1046"/>
    <x v="0"/>
    <x v="2"/>
    <x v="1"/>
    <s v="No"/>
    <s v="Y"/>
    <n v="2"/>
    <n v="-2"/>
    <n v="0"/>
    <x v="11"/>
    <n v="0"/>
    <m/>
    <n v="0"/>
    <n v="1"/>
    <n v="1082"/>
    <n v="9"/>
    <x v="2"/>
    <n v="1"/>
    <n v="4"/>
    <n v="43"/>
    <n v="3"/>
    <n v="1"/>
    <n v="3"/>
    <n v="2974"/>
    <n v="25412"/>
    <n v="9"/>
    <n v="17"/>
    <n v="3"/>
    <n v="3"/>
    <n v="80"/>
    <n v="1"/>
    <n v="9"/>
    <n v="3"/>
    <n v="5"/>
    <n v="3"/>
    <n v="1"/>
    <n v="2"/>
  </r>
  <r>
    <s v="No"/>
    <s v="Travel_Rarely"/>
    <x v="1"/>
    <s v="Current Employees"/>
    <x v="1"/>
    <x v="2"/>
    <s v="STAFF-1830"/>
    <x v="1047"/>
    <x v="0"/>
    <x v="1"/>
    <x v="1"/>
    <s v="No"/>
    <s v="Y"/>
    <n v="2"/>
    <n v="-2"/>
    <n v="0"/>
    <x v="33"/>
    <n v="0"/>
    <m/>
    <n v="0"/>
    <n v="1"/>
    <n v="431"/>
    <n v="7"/>
    <x v="2"/>
    <n v="1"/>
    <n v="4"/>
    <n v="68"/>
    <n v="3"/>
    <n v="2"/>
    <n v="4"/>
    <n v="6854"/>
    <n v="15696"/>
    <n v="4"/>
    <n v="15"/>
    <n v="3"/>
    <n v="2"/>
    <n v="80"/>
    <n v="1"/>
    <n v="14"/>
    <n v="2"/>
    <n v="7"/>
    <n v="1"/>
    <n v="1"/>
    <n v="7"/>
  </r>
  <r>
    <s v="No"/>
    <s v="Travel_Rarely"/>
    <x v="0"/>
    <s v="Current Employees"/>
    <x v="1"/>
    <x v="0"/>
    <s v="STAFF-1628"/>
    <x v="1048"/>
    <x v="0"/>
    <x v="3"/>
    <x v="1"/>
    <s v="No"/>
    <s v="Y"/>
    <n v="2"/>
    <n v="-2"/>
    <n v="0"/>
    <x v="32"/>
    <n v="0"/>
    <m/>
    <n v="0"/>
    <n v="1"/>
    <n v="884"/>
    <n v="15"/>
    <x v="3"/>
    <n v="1"/>
    <n v="1"/>
    <n v="80"/>
    <n v="2"/>
    <n v="3"/>
    <n v="3"/>
    <n v="10435"/>
    <n v="25800"/>
    <n v="1"/>
    <n v="13"/>
    <n v="3"/>
    <n v="4"/>
    <n v="80"/>
    <n v="2"/>
    <n v="18"/>
    <n v="3"/>
    <n v="18"/>
    <n v="15"/>
    <n v="14"/>
    <n v="12"/>
  </r>
  <r>
    <s v="No"/>
    <s v="Travel_Rarely"/>
    <x v="1"/>
    <s v="Current Employees"/>
    <x v="1"/>
    <x v="1"/>
    <s v="STAFF-1655"/>
    <x v="1049"/>
    <x v="0"/>
    <x v="7"/>
    <x v="1"/>
    <s v="No"/>
    <s v="Y"/>
    <n v="2"/>
    <n v="-2"/>
    <n v="0"/>
    <x v="1"/>
    <n v="0"/>
    <m/>
    <n v="0"/>
    <n v="1"/>
    <n v="301"/>
    <n v="22"/>
    <x v="2"/>
    <n v="1"/>
    <n v="1"/>
    <n v="72"/>
    <n v="3"/>
    <n v="4"/>
    <n v="2"/>
    <n v="16413"/>
    <n v="3498"/>
    <n v="3"/>
    <n v="16"/>
    <n v="3"/>
    <n v="2"/>
    <n v="80"/>
    <n v="2"/>
    <n v="27"/>
    <n v="3"/>
    <n v="4"/>
    <n v="2"/>
    <n v="1"/>
    <n v="2"/>
  </r>
  <r>
    <s v="No"/>
    <s v="Travel_Rarely"/>
    <x v="1"/>
    <s v="Current Employees"/>
    <x v="1"/>
    <x v="0"/>
    <s v="STAFF-1969"/>
    <x v="1050"/>
    <x v="0"/>
    <x v="1"/>
    <x v="1"/>
    <s v="No"/>
    <s v="Y"/>
    <n v="6"/>
    <n v="-2"/>
    <n v="0"/>
    <x v="33"/>
    <n v="0"/>
    <m/>
    <n v="0"/>
    <n v="1"/>
    <n v="155"/>
    <n v="9"/>
    <x v="0"/>
    <n v="1"/>
    <n v="1"/>
    <n v="67"/>
    <n v="3"/>
    <n v="2"/>
    <n v="3"/>
    <n v="2897"/>
    <n v="22474"/>
    <n v="3"/>
    <n v="11"/>
    <n v="3"/>
    <n v="3"/>
    <n v="80"/>
    <n v="2"/>
    <n v="9"/>
    <n v="2"/>
    <n v="4"/>
    <n v="3"/>
    <n v="2"/>
    <n v="3"/>
  </r>
  <r>
    <s v="No"/>
    <s v="Travel_Rarely"/>
    <x v="1"/>
    <s v="Current Employees"/>
    <x v="1"/>
    <x v="2"/>
    <s v="STAFF-1443"/>
    <x v="1051"/>
    <x v="0"/>
    <x v="7"/>
    <x v="1"/>
    <s v="No"/>
    <s v="Y"/>
    <n v="2"/>
    <n v="-2"/>
    <n v="0"/>
    <x v="40"/>
    <n v="0"/>
    <m/>
    <n v="0"/>
    <n v="1"/>
    <n v="359"/>
    <n v="2"/>
    <x v="2"/>
    <n v="1"/>
    <n v="1"/>
    <n v="82"/>
    <n v="3"/>
    <n v="4"/>
    <n v="3"/>
    <n v="17169"/>
    <n v="26703"/>
    <n v="3"/>
    <n v="19"/>
    <n v="3"/>
    <n v="2"/>
    <n v="80"/>
    <n v="2"/>
    <n v="26"/>
    <n v="4"/>
    <n v="20"/>
    <n v="17"/>
    <n v="5"/>
    <n v="6"/>
  </r>
  <r>
    <s v="No"/>
    <s v="Travel_Rarely"/>
    <x v="1"/>
    <s v="Current Employees"/>
    <x v="1"/>
    <x v="0"/>
    <s v="STAFF-1888"/>
    <x v="1052"/>
    <x v="0"/>
    <x v="3"/>
    <x v="1"/>
    <s v="No"/>
    <s v="Y"/>
    <n v="2"/>
    <n v="-2"/>
    <n v="0"/>
    <x v="28"/>
    <n v="0"/>
    <m/>
    <n v="0"/>
    <n v="1"/>
    <n v="556"/>
    <n v="25"/>
    <x v="0"/>
    <n v="1"/>
    <n v="2"/>
    <n v="93"/>
    <n v="2"/>
    <n v="2"/>
    <n v="4"/>
    <n v="5906"/>
    <n v="23888"/>
    <n v="0"/>
    <n v="13"/>
    <n v="3"/>
    <n v="4"/>
    <n v="80"/>
    <n v="2"/>
    <n v="10"/>
    <n v="2"/>
    <n v="9"/>
    <n v="8"/>
    <n v="3"/>
    <n v="8"/>
  </r>
  <r>
    <s v="No"/>
    <s v="Travel_Rarely"/>
    <x v="0"/>
    <s v="Current Employees"/>
    <x v="1"/>
    <x v="0"/>
    <s v="STAFF-1651"/>
    <x v="1053"/>
    <x v="0"/>
    <x v="4"/>
    <x v="1"/>
    <s v="No"/>
    <s v="Y"/>
    <n v="6"/>
    <n v="-2"/>
    <n v="0"/>
    <x v="9"/>
    <n v="0"/>
    <m/>
    <n v="0"/>
    <n v="1"/>
    <n v="711"/>
    <n v="5"/>
    <x v="2"/>
    <n v="1"/>
    <n v="2"/>
    <n v="42"/>
    <n v="3"/>
    <n v="3"/>
    <n v="3"/>
    <n v="8008"/>
    <n v="22792"/>
    <n v="4"/>
    <n v="12"/>
    <n v="3"/>
    <n v="3"/>
    <n v="80"/>
    <n v="2"/>
    <n v="9"/>
    <n v="3"/>
    <n v="3"/>
    <n v="2"/>
    <n v="0"/>
    <n v="2"/>
  </r>
  <r>
    <s v="No"/>
    <s v="Travel_Rarely"/>
    <x v="2"/>
    <s v="Current Employees"/>
    <x v="1"/>
    <x v="1"/>
    <s v="STAFF-1607"/>
    <x v="1054"/>
    <x v="0"/>
    <x v="1"/>
    <x v="1"/>
    <s v="No"/>
    <s v="Y"/>
    <n v="3"/>
    <n v="-2"/>
    <n v="0"/>
    <x v="5"/>
    <n v="0"/>
    <m/>
    <n v="0"/>
    <n v="1"/>
    <n v="634"/>
    <n v="5"/>
    <x v="2"/>
    <n v="1"/>
    <n v="2"/>
    <n v="35"/>
    <n v="4"/>
    <n v="1"/>
    <n v="4"/>
    <n v="3312"/>
    <n v="18783"/>
    <n v="3"/>
    <n v="17"/>
    <n v="3"/>
    <n v="4"/>
    <n v="80"/>
    <n v="2"/>
    <n v="6"/>
    <n v="3"/>
    <n v="3"/>
    <n v="2"/>
    <n v="0"/>
    <n v="2"/>
  </r>
  <r>
    <s v="No"/>
    <s v="Travel_Rarely"/>
    <x v="0"/>
    <s v="Current Employees"/>
    <x v="1"/>
    <x v="2"/>
    <s v="STAFF-2051"/>
    <x v="1055"/>
    <x v="0"/>
    <x v="1"/>
    <x v="1"/>
    <s v="No"/>
    <s v="Y"/>
    <n v="2"/>
    <n v="-2"/>
    <n v="0"/>
    <x v="32"/>
    <n v="0"/>
    <m/>
    <n v="0"/>
    <n v="1"/>
    <n v="1194"/>
    <n v="2"/>
    <x v="2"/>
    <n v="1"/>
    <n v="3"/>
    <n v="98"/>
    <n v="3"/>
    <n v="1"/>
    <n v="3"/>
    <n v="2001"/>
    <n v="12549"/>
    <n v="2"/>
    <n v="14"/>
    <n v="3"/>
    <n v="2"/>
    <n v="80"/>
    <n v="3"/>
    <n v="20"/>
    <n v="3"/>
    <n v="5"/>
    <n v="3"/>
    <n v="0"/>
    <n v="2"/>
  </r>
  <r>
    <s v="No"/>
    <s v="Travel_Rarely"/>
    <x v="2"/>
    <s v="Current Employees"/>
    <x v="1"/>
    <x v="0"/>
    <s v="STAFF-1430"/>
    <x v="1056"/>
    <x v="0"/>
    <x v="7"/>
    <x v="0"/>
    <s v="No"/>
    <s v="Y"/>
    <n v="3"/>
    <n v="-2"/>
    <n v="0"/>
    <x v="12"/>
    <n v="0"/>
    <m/>
    <n v="0"/>
    <n v="1"/>
    <n v="182"/>
    <n v="8"/>
    <x v="4"/>
    <n v="1"/>
    <n v="1"/>
    <n v="93"/>
    <n v="3"/>
    <n v="4"/>
    <n v="2"/>
    <n v="16422"/>
    <n v="8847"/>
    <n v="3"/>
    <n v="11"/>
    <n v="3"/>
    <n v="3"/>
    <n v="80"/>
    <n v="0"/>
    <n v="9"/>
    <n v="4"/>
    <n v="3"/>
    <n v="2"/>
    <n v="1"/>
    <n v="0"/>
  </r>
  <r>
    <s v="No"/>
    <s v="Travel_Rarely"/>
    <x v="0"/>
    <s v="Current Employees"/>
    <x v="1"/>
    <x v="2"/>
    <s v="STAFF-1411"/>
    <x v="1057"/>
    <x v="0"/>
    <x v="2"/>
    <x v="0"/>
    <s v="No"/>
    <s v="Y"/>
    <n v="6"/>
    <n v="-2"/>
    <n v="0"/>
    <x v="2"/>
    <n v="0"/>
    <m/>
    <n v="0"/>
    <n v="1"/>
    <n v="1462"/>
    <n v="11"/>
    <x v="3"/>
    <n v="1"/>
    <n v="1"/>
    <n v="94"/>
    <n v="3"/>
    <n v="1"/>
    <n v="3"/>
    <n v="3629"/>
    <n v="19106"/>
    <n v="4"/>
    <n v="18"/>
    <n v="3"/>
    <n v="1"/>
    <n v="80"/>
    <n v="0"/>
    <n v="8"/>
    <n v="3"/>
    <n v="3"/>
    <n v="2"/>
    <n v="0"/>
    <n v="2"/>
  </r>
  <r>
    <s v="No"/>
    <s v="Travel_Rarely"/>
    <x v="2"/>
    <s v="Current Employees"/>
    <x v="1"/>
    <x v="2"/>
    <s v="STAFF-1816"/>
    <x v="1058"/>
    <x v="0"/>
    <x v="3"/>
    <x v="0"/>
    <s v="No"/>
    <s v="Y"/>
    <n v="3"/>
    <n v="-2"/>
    <n v="0"/>
    <x v="7"/>
    <n v="0"/>
    <m/>
    <n v="0"/>
    <n v="1"/>
    <n v="1092"/>
    <n v="10"/>
    <x v="3"/>
    <n v="1"/>
    <n v="1"/>
    <n v="64"/>
    <n v="3"/>
    <n v="3"/>
    <n v="3"/>
    <n v="9667"/>
    <n v="2739"/>
    <n v="9"/>
    <n v="14"/>
    <n v="3"/>
    <n v="2"/>
    <n v="80"/>
    <n v="0"/>
    <n v="9"/>
    <n v="3"/>
    <n v="7"/>
    <n v="7"/>
    <n v="0"/>
    <n v="2"/>
  </r>
  <r>
    <s v="No"/>
    <s v="Travel_Rarely"/>
    <x v="0"/>
    <s v="Current Employees"/>
    <x v="1"/>
    <x v="0"/>
    <s v="STAFF-1525"/>
    <x v="1059"/>
    <x v="0"/>
    <x v="3"/>
    <x v="0"/>
    <s v="No"/>
    <s v="Y"/>
    <n v="3"/>
    <n v="-2"/>
    <n v="0"/>
    <x v="22"/>
    <n v="0"/>
    <m/>
    <n v="0"/>
    <n v="1"/>
    <n v="1089"/>
    <n v="6"/>
    <x v="3"/>
    <n v="1"/>
    <n v="2"/>
    <n v="32"/>
    <n v="3"/>
    <n v="3"/>
    <n v="2"/>
    <n v="8376"/>
    <n v="9150"/>
    <n v="4"/>
    <n v="18"/>
    <n v="3"/>
    <n v="4"/>
    <n v="80"/>
    <n v="0"/>
    <n v="9"/>
    <n v="3"/>
    <n v="2"/>
    <n v="0"/>
    <n v="2"/>
    <n v="2"/>
  </r>
  <r>
    <s v="No"/>
    <s v="Travel_Rarely"/>
    <x v="1"/>
    <s v="Current Employees"/>
    <x v="1"/>
    <x v="0"/>
    <s v="STAFF-1856"/>
    <x v="1060"/>
    <x v="0"/>
    <x v="2"/>
    <x v="0"/>
    <s v="No"/>
    <s v="Y"/>
    <n v="2"/>
    <n v="-2"/>
    <n v="0"/>
    <x v="40"/>
    <n v="0"/>
    <m/>
    <n v="0"/>
    <n v="1"/>
    <n v="207"/>
    <n v="9"/>
    <x v="2"/>
    <n v="1"/>
    <n v="2"/>
    <n v="64"/>
    <n v="3"/>
    <n v="1"/>
    <n v="3"/>
    <n v="2105"/>
    <n v="5411"/>
    <n v="4"/>
    <n v="12"/>
    <n v="3"/>
    <n v="3"/>
    <n v="80"/>
    <n v="0"/>
    <n v="7"/>
    <n v="3"/>
    <n v="2"/>
    <n v="2"/>
    <n v="2"/>
    <n v="0"/>
  </r>
  <r>
    <s v="No"/>
    <s v="Travel_Rarely"/>
    <x v="2"/>
    <s v="Current Employees"/>
    <x v="1"/>
    <x v="0"/>
    <s v="STAFF-2010"/>
    <x v="1061"/>
    <x v="0"/>
    <x v="2"/>
    <x v="0"/>
    <s v="No"/>
    <s v="Y"/>
    <n v="3"/>
    <n v="-2"/>
    <n v="0"/>
    <x v="5"/>
    <n v="0"/>
    <m/>
    <n v="0"/>
    <n v="1"/>
    <n v="267"/>
    <n v="29"/>
    <x v="2"/>
    <n v="1"/>
    <n v="3"/>
    <n v="49"/>
    <n v="2"/>
    <n v="1"/>
    <n v="2"/>
    <n v="2837"/>
    <n v="15919"/>
    <n v="1"/>
    <n v="13"/>
    <n v="3"/>
    <n v="3"/>
    <n v="80"/>
    <n v="0"/>
    <n v="6"/>
    <n v="3"/>
    <n v="6"/>
    <n v="2"/>
    <n v="4"/>
    <n v="1"/>
  </r>
  <r>
    <s v="No"/>
    <s v="Travel_Rarely"/>
    <x v="4"/>
    <s v="Current Employees"/>
    <x v="1"/>
    <x v="2"/>
    <s v="STAFF-1735"/>
    <x v="1062"/>
    <x v="0"/>
    <x v="2"/>
    <x v="0"/>
    <s v="No"/>
    <s v="Y"/>
    <n v="3"/>
    <n v="-2"/>
    <n v="0"/>
    <x v="30"/>
    <n v="0"/>
    <m/>
    <n v="0"/>
    <n v="1"/>
    <n v="160"/>
    <n v="4"/>
    <x v="1"/>
    <n v="1"/>
    <n v="3"/>
    <n v="51"/>
    <n v="3"/>
    <n v="1"/>
    <n v="2"/>
    <n v="3295"/>
    <n v="12862"/>
    <n v="1"/>
    <n v="13"/>
    <n v="3"/>
    <n v="3"/>
    <n v="80"/>
    <n v="0"/>
    <n v="3"/>
    <n v="1"/>
    <n v="3"/>
    <n v="2"/>
    <n v="1"/>
    <n v="2"/>
  </r>
  <r>
    <s v="No"/>
    <s v="Travel_Rarely"/>
    <x v="2"/>
    <s v="Current Employees"/>
    <x v="1"/>
    <x v="2"/>
    <s v="STAFF-1751"/>
    <x v="1063"/>
    <x v="0"/>
    <x v="1"/>
    <x v="0"/>
    <s v="No"/>
    <s v="Y"/>
    <n v="5"/>
    <n v="-2"/>
    <n v="0"/>
    <x v="4"/>
    <n v="0"/>
    <m/>
    <n v="0"/>
    <n v="1"/>
    <n v="1054"/>
    <n v="8"/>
    <x v="3"/>
    <n v="1"/>
    <n v="3"/>
    <n v="67"/>
    <n v="3"/>
    <n v="1"/>
    <n v="4"/>
    <n v="3445"/>
    <n v="6152"/>
    <n v="1"/>
    <n v="11"/>
    <n v="3"/>
    <n v="3"/>
    <n v="80"/>
    <n v="0"/>
    <n v="6"/>
    <n v="2"/>
    <n v="6"/>
    <n v="2"/>
    <n v="1"/>
    <n v="4"/>
  </r>
  <r>
    <s v="No"/>
    <s v="Travel_Rarely"/>
    <x v="2"/>
    <s v="Current Employees"/>
    <x v="1"/>
    <x v="2"/>
    <s v="STAFF-2054"/>
    <x v="1064"/>
    <x v="0"/>
    <x v="1"/>
    <x v="0"/>
    <s v="No"/>
    <s v="Y"/>
    <n v="3"/>
    <n v="-2"/>
    <n v="0"/>
    <x v="11"/>
    <n v="0"/>
    <m/>
    <n v="0"/>
    <n v="1"/>
    <n v="468"/>
    <n v="28"/>
    <x v="2"/>
    <n v="1"/>
    <n v="4"/>
    <n v="73"/>
    <n v="2"/>
    <n v="1"/>
    <n v="3"/>
    <n v="3785"/>
    <n v="8489"/>
    <n v="1"/>
    <n v="14"/>
    <n v="3"/>
    <n v="2"/>
    <n v="80"/>
    <n v="0"/>
    <n v="5"/>
    <n v="1"/>
    <n v="5"/>
    <n v="4"/>
    <n v="0"/>
    <n v="4"/>
  </r>
  <r>
    <s v="No"/>
    <s v="Travel_Rarely"/>
    <x v="0"/>
    <s v="Current Employees"/>
    <x v="1"/>
    <x v="0"/>
    <s v="STAFF-1529"/>
    <x v="1065"/>
    <x v="0"/>
    <x v="4"/>
    <x v="0"/>
    <s v="No"/>
    <s v="Y"/>
    <n v="3"/>
    <n v="-2"/>
    <n v="0"/>
    <x v="10"/>
    <n v="0"/>
    <m/>
    <n v="0"/>
    <n v="1"/>
    <n v="1029"/>
    <n v="16"/>
    <x v="3"/>
    <n v="1"/>
    <n v="4"/>
    <n v="91"/>
    <n v="2"/>
    <n v="3"/>
    <n v="2"/>
    <n v="8606"/>
    <n v="21195"/>
    <n v="1"/>
    <n v="19"/>
    <n v="3"/>
    <n v="4"/>
    <n v="80"/>
    <n v="0"/>
    <n v="11"/>
    <n v="1"/>
    <n v="11"/>
    <n v="8"/>
    <n v="3"/>
    <n v="3"/>
  </r>
  <r>
    <s v="No"/>
    <s v="Travel_Rarely"/>
    <x v="1"/>
    <s v="Current Employees"/>
    <x v="1"/>
    <x v="4"/>
    <s v="STAFF-1719"/>
    <x v="1066"/>
    <x v="0"/>
    <x v="7"/>
    <x v="0"/>
    <s v="No"/>
    <s v="Y"/>
    <n v="2"/>
    <n v="-2"/>
    <n v="0"/>
    <x v="28"/>
    <n v="0"/>
    <m/>
    <n v="0"/>
    <n v="1"/>
    <n v="1005"/>
    <n v="28"/>
    <x v="0"/>
    <n v="1"/>
    <n v="4"/>
    <n v="48"/>
    <n v="2"/>
    <n v="4"/>
    <n v="4"/>
    <n v="16704"/>
    <n v="17119"/>
    <n v="1"/>
    <n v="11"/>
    <n v="3"/>
    <n v="3"/>
    <n v="80"/>
    <n v="0"/>
    <n v="21"/>
    <n v="3"/>
    <n v="21"/>
    <n v="6"/>
    <n v="8"/>
    <n v="6"/>
  </r>
  <r>
    <s v="No"/>
    <s v="Travel_Rarely"/>
    <x v="1"/>
    <s v="Current Employees"/>
    <x v="1"/>
    <x v="2"/>
    <s v="STAFF-1422"/>
    <x v="1067"/>
    <x v="0"/>
    <x v="7"/>
    <x v="0"/>
    <s v="No"/>
    <s v="Y"/>
    <n v="3"/>
    <n v="-2"/>
    <n v="0"/>
    <x v="33"/>
    <n v="0"/>
    <m/>
    <n v="0"/>
    <n v="1"/>
    <n v="971"/>
    <n v="1"/>
    <x v="3"/>
    <n v="1"/>
    <n v="4"/>
    <n v="54"/>
    <n v="3"/>
    <n v="4"/>
    <n v="4"/>
    <n v="17328"/>
    <n v="5652"/>
    <n v="6"/>
    <n v="19"/>
    <n v="3"/>
    <n v="4"/>
    <n v="80"/>
    <n v="0"/>
    <n v="29"/>
    <n v="2"/>
    <n v="20"/>
    <n v="7"/>
    <n v="12"/>
    <n v="7"/>
  </r>
  <r>
    <s v="No"/>
    <s v="Travel_Rarely"/>
    <x v="1"/>
    <s v="Current Employees"/>
    <x v="0"/>
    <x v="4"/>
    <s v="STAFF-1863"/>
    <x v="1068"/>
    <x v="0"/>
    <x v="0"/>
    <x v="2"/>
    <s v="No"/>
    <s v="Y"/>
    <n v="5"/>
    <n v="-2"/>
    <n v="0"/>
    <x v="21"/>
    <n v="0"/>
    <m/>
    <n v="0"/>
    <n v="1"/>
    <n v="1319"/>
    <n v="3"/>
    <x v="3"/>
    <n v="1"/>
    <n v="4"/>
    <n v="45"/>
    <n v="4"/>
    <n v="4"/>
    <n v="4"/>
    <n v="13225"/>
    <n v="7739"/>
    <n v="2"/>
    <n v="12"/>
    <n v="3"/>
    <n v="4"/>
    <n v="80"/>
    <n v="1"/>
    <n v="25"/>
    <n v="3"/>
    <n v="19"/>
    <n v="17"/>
    <n v="2"/>
    <n v="8"/>
  </r>
  <r>
    <s v="No"/>
    <s v="Travel_Rarely"/>
    <x v="1"/>
    <s v="Current Employees"/>
    <x v="0"/>
    <x v="0"/>
    <s v="STAFF-1557"/>
    <x v="1069"/>
    <x v="0"/>
    <x v="0"/>
    <x v="2"/>
    <s v="No"/>
    <s v="Y"/>
    <n v="2"/>
    <n v="-2"/>
    <n v="0"/>
    <x v="26"/>
    <n v="0"/>
    <m/>
    <n v="0"/>
    <n v="1"/>
    <n v="492"/>
    <n v="16"/>
    <x v="2"/>
    <n v="1"/>
    <n v="3"/>
    <n v="96"/>
    <n v="3"/>
    <n v="2"/>
    <n v="3"/>
    <n v="6439"/>
    <n v="13693"/>
    <n v="8"/>
    <n v="14"/>
    <n v="3"/>
    <n v="3"/>
    <n v="80"/>
    <n v="1"/>
    <n v="18"/>
    <n v="3"/>
    <n v="8"/>
    <n v="7"/>
    <n v="7"/>
    <n v="7"/>
  </r>
  <r>
    <s v="No"/>
    <s v="Travel_Rarely"/>
    <x v="2"/>
    <s v="Current Employees"/>
    <x v="0"/>
    <x v="3"/>
    <s v="STAFF-1428"/>
    <x v="1070"/>
    <x v="0"/>
    <x v="0"/>
    <x v="2"/>
    <s v="No"/>
    <s v="Y"/>
    <n v="3"/>
    <n v="-2"/>
    <n v="0"/>
    <x v="7"/>
    <n v="0"/>
    <m/>
    <n v="0"/>
    <n v="1"/>
    <n v="855"/>
    <n v="7"/>
    <x v="2"/>
    <n v="1"/>
    <n v="4"/>
    <n v="73"/>
    <n v="3"/>
    <n v="2"/>
    <n v="2"/>
    <n v="4779"/>
    <n v="12761"/>
    <n v="7"/>
    <n v="14"/>
    <n v="3"/>
    <n v="2"/>
    <n v="80"/>
    <n v="2"/>
    <n v="8"/>
    <n v="3"/>
    <n v="3"/>
    <n v="2"/>
    <n v="0"/>
    <n v="2"/>
  </r>
  <r>
    <s v="No"/>
    <s v="Travel_Rarely"/>
    <x v="1"/>
    <s v="Current Employees"/>
    <x v="0"/>
    <x v="0"/>
    <s v="STAFF-1676"/>
    <x v="1071"/>
    <x v="0"/>
    <x v="5"/>
    <x v="2"/>
    <s v="No"/>
    <s v="Y"/>
    <n v="2"/>
    <n v="-2"/>
    <n v="0"/>
    <x v="40"/>
    <n v="0"/>
    <m/>
    <n v="0"/>
    <n v="1"/>
    <n v="1225"/>
    <n v="2"/>
    <x v="2"/>
    <n v="1"/>
    <n v="2"/>
    <n v="47"/>
    <n v="4"/>
    <n v="4"/>
    <n v="2"/>
    <n v="15972"/>
    <n v="21086"/>
    <n v="6"/>
    <n v="14"/>
    <n v="3"/>
    <n v="3"/>
    <n v="80"/>
    <n v="3"/>
    <n v="29"/>
    <n v="3"/>
    <n v="3"/>
    <n v="2"/>
    <n v="1"/>
    <n v="2"/>
  </r>
  <r>
    <s v="No"/>
    <s v="Travel_Rarely"/>
    <x v="0"/>
    <s v="Current Employees"/>
    <x v="0"/>
    <x v="0"/>
    <s v="STAFF-2041"/>
    <x v="1072"/>
    <x v="0"/>
    <x v="0"/>
    <x v="1"/>
    <s v="No"/>
    <s v="Y"/>
    <n v="1"/>
    <n v="-2"/>
    <n v="0"/>
    <x v="8"/>
    <n v="0"/>
    <m/>
    <n v="0"/>
    <n v="1"/>
    <n v="345"/>
    <n v="10"/>
    <x v="0"/>
    <n v="1"/>
    <n v="1"/>
    <n v="100"/>
    <n v="3"/>
    <n v="2"/>
    <n v="4"/>
    <n v="5343"/>
    <n v="5982"/>
    <n v="1"/>
    <n v="11"/>
    <n v="3"/>
    <n v="3"/>
    <n v="80"/>
    <n v="1"/>
    <n v="10"/>
    <n v="3"/>
    <n v="10"/>
    <n v="7"/>
    <n v="1"/>
    <n v="9"/>
  </r>
  <r>
    <s v="No"/>
    <s v="Travel_Rarely"/>
    <x v="0"/>
    <s v="Current Employees"/>
    <x v="0"/>
    <x v="3"/>
    <s v="STAFF-2045"/>
    <x v="1073"/>
    <x v="0"/>
    <x v="0"/>
    <x v="1"/>
    <s v="No"/>
    <s v="Y"/>
    <n v="2"/>
    <n v="-2"/>
    <n v="0"/>
    <x v="9"/>
    <n v="0"/>
    <m/>
    <n v="0"/>
    <n v="1"/>
    <n v="1120"/>
    <n v="11"/>
    <x v="2"/>
    <n v="1"/>
    <n v="2"/>
    <n v="100"/>
    <n v="2"/>
    <n v="2"/>
    <n v="2"/>
    <n v="6652"/>
    <n v="14369"/>
    <n v="4"/>
    <n v="13"/>
    <n v="3"/>
    <n v="1"/>
    <n v="80"/>
    <n v="1"/>
    <n v="8"/>
    <n v="2"/>
    <n v="6"/>
    <n v="3"/>
    <n v="0"/>
    <n v="0"/>
  </r>
  <r>
    <s v="No"/>
    <s v="Travel_Rarely"/>
    <x v="0"/>
    <s v="Current Employees"/>
    <x v="0"/>
    <x v="3"/>
    <s v="STAFF-2056"/>
    <x v="1074"/>
    <x v="0"/>
    <x v="0"/>
    <x v="1"/>
    <s v="No"/>
    <s v="Y"/>
    <n v="2"/>
    <n v="-2"/>
    <n v="0"/>
    <x v="22"/>
    <n v="0"/>
    <m/>
    <n v="0"/>
    <n v="1"/>
    <n v="722"/>
    <n v="24"/>
    <x v="1"/>
    <n v="1"/>
    <n v="2"/>
    <n v="60"/>
    <n v="2"/>
    <n v="4"/>
    <n v="2"/>
    <n v="12031"/>
    <n v="8828"/>
    <n v="0"/>
    <n v="11"/>
    <n v="3"/>
    <n v="1"/>
    <n v="80"/>
    <n v="1"/>
    <n v="21"/>
    <n v="2"/>
    <n v="20"/>
    <n v="9"/>
    <n v="9"/>
    <n v="6"/>
  </r>
  <r>
    <s v="No"/>
    <s v="Travel_Rarely"/>
    <x v="0"/>
    <s v="Current Employees"/>
    <x v="0"/>
    <x v="3"/>
    <s v="STAFF-1986"/>
    <x v="1075"/>
    <x v="0"/>
    <x v="0"/>
    <x v="1"/>
    <s v="No"/>
    <s v="Y"/>
    <n v="4"/>
    <n v="-2"/>
    <n v="0"/>
    <x v="32"/>
    <n v="0"/>
    <m/>
    <n v="0"/>
    <n v="1"/>
    <n v="444"/>
    <n v="2"/>
    <x v="0"/>
    <n v="1"/>
    <n v="2"/>
    <n v="92"/>
    <n v="3"/>
    <n v="2"/>
    <n v="2"/>
    <n v="5677"/>
    <n v="4258"/>
    <n v="3"/>
    <n v="14"/>
    <n v="3"/>
    <n v="3"/>
    <n v="80"/>
    <n v="1"/>
    <n v="15"/>
    <n v="3"/>
    <n v="11"/>
    <n v="8"/>
    <n v="5"/>
    <n v="10"/>
  </r>
  <r>
    <s v="No"/>
    <s v="Travel_Rarely"/>
    <x v="2"/>
    <s v="Current Employees"/>
    <x v="0"/>
    <x v="2"/>
    <s v="STAFF-1875"/>
    <x v="1076"/>
    <x v="0"/>
    <x v="6"/>
    <x v="1"/>
    <s v="No"/>
    <s v="Y"/>
    <n v="3"/>
    <n v="-2"/>
    <n v="0"/>
    <x v="14"/>
    <n v="0"/>
    <m/>
    <n v="0"/>
    <n v="1"/>
    <n v="1172"/>
    <n v="3"/>
    <x v="3"/>
    <n v="1"/>
    <n v="2"/>
    <n v="78"/>
    <n v="3"/>
    <n v="1"/>
    <n v="2"/>
    <n v="2856"/>
    <n v="3692"/>
    <n v="1"/>
    <n v="19"/>
    <n v="3"/>
    <n v="4"/>
    <n v="80"/>
    <n v="1"/>
    <n v="1"/>
    <n v="3"/>
    <n v="1"/>
    <n v="0"/>
    <n v="0"/>
    <n v="0"/>
  </r>
  <r>
    <s v="No"/>
    <s v="Travel_Rarely"/>
    <x v="1"/>
    <s v="Current Employees"/>
    <x v="0"/>
    <x v="0"/>
    <s v="STAFF-1527"/>
    <x v="1077"/>
    <x v="0"/>
    <x v="5"/>
    <x v="1"/>
    <s v="No"/>
    <s v="Y"/>
    <n v="2"/>
    <n v="-2"/>
    <n v="0"/>
    <x v="21"/>
    <n v="0"/>
    <m/>
    <n v="0"/>
    <n v="1"/>
    <n v="228"/>
    <n v="3"/>
    <x v="3"/>
    <n v="1"/>
    <n v="3"/>
    <n v="51"/>
    <n v="3"/>
    <n v="4"/>
    <n v="2"/>
    <n v="16606"/>
    <n v="11380"/>
    <n v="8"/>
    <n v="12"/>
    <n v="3"/>
    <n v="4"/>
    <n v="80"/>
    <n v="1"/>
    <n v="23"/>
    <n v="4"/>
    <n v="13"/>
    <n v="12"/>
    <n v="5"/>
    <n v="1"/>
  </r>
  <r>
    <s v="No"/>
    <s v="Travel_Rarely"/>
    <x v="3"/>
    <s v="Current Employees"/>
    <x v="0"/>
    <x v="3"/>
    <s v="STAFF-1935"/>
    <x v="1078"/>
    <x v="0"/>
    <x v="0"/>
    <x v="1"/>
    <s v="No"/>
    <s v="Y"/>
    <n v="3"/>
    <n v="-2"/>
    <n v="0"/>
    <x v="29"/>
    <n v="0"/>
    <m/>
    <n v="0"/>
    <n v="1"/>
    <n v="1443"/>
    <n v="11"/>
    <x v="4"/>
    <n v="1"/>
    <n v="4"/>
    <n v="89"/>
    <n v="2"/>
    <n v="2"/>
    <n v="2"/>
    <n v="5380"/>
    <n v="20328"/>
    <n v="4"/>
    <n v="16"/>
    <n v="3"/>
    <n v="3"/>
    <n v="80"/>
    <n v="1"/>
    <n v="6"/>
    <n v="3"/>
    <n v="0"/>
    <n v="0"/>
    <n v="0"/>
    <n v="0"/>
  </r>
  <r>
    <s v="No"/>
    <s v="Travel_Rarely"/>
    <x v="0"/>
    <s v="Current Employees"/>
    <x v="0"/>
    <x v="0"/>
    <s v="STAFF-1598"/>
    <x v="1079"/>
    <x v="0"/>
    <x v="0"/>
    <x v="1"/>
    <s v="No"/>
    <s v="Y"/>
    <n v="2"/>
    <n v="-2"/>
    <n v="0"/>
    <x v="32"/>
    <n v="0"/>
    <m/>
    <n v="0"/>
    <n v="1"/>
    <n v="118"/>
    <n v="14"/>
    <x v="0"/>
    <n v="1"/>
    <n v="4"/>
    <n v="84"/>
    <n v="3"/>
    <n v="2"/>
    <n v="3"/>
    <n v="4639"/>
    <n v="11262"/>
    <n v="1"/>
    <n v="15"/>
    <n v="3"/>
    <n v="3"/>
    <n v="80"/>
    <n v="1"/>
    <n v="5"/>
    <n v="3"/>
    <n v="5"/>
    <n v="4"/>
    <n v="1"/>
    <n v="2"/>
  </r>
  <r>
    <s v="No"/>
    <s v="Travel_Rarely"/>
    <x v="2"/>
    <s v="Current Employees"/>
    <x v="0"/>
    <x v="3"/>
    <s v="STAFF-1784"/>
    <x v="1080"/>
    <x v="0"/>
    <x v="0"/>
    <x v="1"/>
    <s v="No"/>
    <s v="Y"/>
    <n v="3"/>
    <n v="-2"/>
    <n v="0"/>
    <x v="12"/>
    <n v="0"/>
    <m/>
    <n v="0"/>
    <n v="1"/>
    <n v="196"/>
    <n v="29"/>
    <x v="2"/>
    <n v="1"/>
    <n v="1"/>
    <n v="91"/>
    <n v="2"/>
    <n v="2"/>
    <n v="2"/>
    <n v="5468"/>
    <n v="13402"/>
    <n v="1"/>
    <n v="14"/>
    <n v="3"/>
    <n v="1"/>
    <n v="80"/>
    <n v="2"/>
    <n v="13"/>
    <n v="3"/>
    <n v="12"/>
    <n v="7"/>
    <n v="5"/>
    <n v="7"/>
  </r>
  <r>
    <s v="No"/>
    <s v="Travel_Rarely"/>
    <x v="0"/>
    <s v="Current Employees"/>
    <x v="0"/>
    <x v="2"/>
    <s v="STAFF-2024"/>
    <x v="1081"/>
    <x v="0"/>
    <x v="0"/>
    <x v="1"/>
    <s v="No"/>
    <s v="Y"/>
    <n v="2"/>
    <n v="-2"/>
    <n v="0"/>
    <x v="9"/>
    <n v="0"/>
    <m/>
    <n v="0"/>
    <n v="1"/>
    <n v="557"/>
    <n v="3"/>
    <x v="3"/>
    <n v="1"/>
    <n v="1"/>
    <n v="94"/>
    <n v="2"/>
    <n v="3"/>
    <n v="4"/>
    <n v="7644"/>
    <n v="12695"/>
    <n v="0"/>
    <n v="19"/>
    <n v="3"/>
    <n v="3"/>
    <n v="80"/>
    <n v="2"/>
    <n v="10"/>
    <n v="3"/>
    <n v="9"/>
    <n v="7"/>
    <n v="3"/>
    <n v="4"/>
  </r>
  <r>
    <s v="No"/>
    <s v="Travel_Rarely"/>
    <x v="2"/>
    <s v="Current Employees"/>
    <x v="0"/>
    <x v="0"/>
    <s v="STAFF-1673"/>
    <x v="1082"/>
    <x v="0"/>
    <x v="0"/>
    <x v="1"/>
    <s v="No"/>
    <s v="Y"/>
    <n v="2"/>
    <n v="-2"/>
    <n v="0"/>
    <x v="12"/>
    <n v="0"/>
    <m/>
    <n v="0"/>
    <n v="1"/>
    <n v="1112"/>
    <n v="5"/>
    <x v="2"/>
    <n v="1"/>
    <n v="1"/>
    <n v="67"/>
    <n v="3"/>
    <n v="2"/>
    <n v="4"/>
    <n v="5476"/>
    <n v="22589"/>
    <n v="1"/>
    <n v="11"/>
    <n v="3"/>
    <n v="1"/>
    <n v="80"/>
    <n v="2"/>
    <n v="10"/>
    <n v="3"/>
    <n v="10"/>
    <n v="0"/>
    <n v="0"/>
    <n v="2"/>
  </r>
  <r>
    <s v="No"/>
    <s v="Travel_Rarely"/>
    <x v="0"/>
    <s v="Current Employees"/>
    <x v="0"/>
    <x v="3"/>
    <s v="STAFF-1436"/>
    <x v="1083"/>
    <x v="0"/>
    <x v="0"/>
    <x v="1"/>
    <s v="No"/>
    <s v="Y"/>
    <n v="3"/>
    <n v="-2"/>
    <n v="0"/>
    <x v="9"/>
    <n v="0"/>
    <m/>
    <n v="0"/>
    <n v="1"/>
    <n v="329"/>
    <n v="16"/>
    <x v="2"/>
    <n v="1"/>
    <n v="3"/>
    <n v="98"/>
    <n v="2"/>
    <n v="2"/>
    <n v="2"/>
    <n v="5647"/>
    <n v="13494"/>
    <n v="4"/>
    <n v="13"/>
    <n v="3"/>
    <n v="1"/>
    <n v="80"/>
    <n v="2"/>
    <n v="11"/>
    <n v="2"/>
    <n v="3"/>
    <n v="2"/>
    <n v="0"/>
    <n v="2"/>
  </r>
  <r>
    <s v="No"/>
    <s v="Travel_Rarely"/>
    <x v="2"/>
    <s v="Current Employees"/>
    <x v="0"/>
    <x v="3"/>
    <s v="STAFF-2016"/>
    <x v="1084"/>
    <x v="0"/>
    <x v="0"/>
    <x v="1"/>
    <s v="No"/>
    <s v="Y"/>
    <n v="3"/>
    <n v="-2"/>
    <n v="0"/>
    <x v="5"/>
    <n v="0"/>
    <m/>
    <n v="0"/>
    <n v="1"/>
    <n v="801"/>
    <n v="1"/>
    <x v="2"/>
    <n v="1"/>
    <n v="3"/>
    <n v="48"/>
    <n v="3"/>
    <n v="3"/>
    <n v="2"/>
    <n v="10422"/>
    <n v="24032"/>
    <n v="1"/>
    <n v="19"/>
    <n v="3"/>
    <n v="3"/>
    <n v="80"/>
    <n v="2"/>
    <n v="14"/>
    <n v="3"/>
    <n v="14"/>
    <n v="10"/>
    <n v="5"/>
    <n v="7"/>
  </r>
  <r>
    <s v="No"/>
    <s v="Travel_Rarely"/>
    <x v="2"/>
    <s v="Current Employees"/>
    <x v="0"/>
    <x v="2"/>
    <s v="STAFF-1898"/>
    <x v="1085"/>
    <x v="0"/>
    <x v="0"/>
    <x v="0"/>
    <s v="No"/>
    <s v="Y"/>
    <n v="5"/>
    <n v="-2"/>
    <n v="0"/>
    <x v="4"/>
    <n v="0"/>
    <m/>
    <n v="0"/>
    <n v="1"/>
    <n v="511"/>
    <n v="2"/>
    <x v="0"/>
    <n v="1"/>
    <n v="1"/>
    <n v="89"/>
    <n v="4"/>
    <n v="2"/>
    <n v="3"/>
    <n v="6500"/>
    <n v="26997"/>
    <n v="0"/>
    <n v="14"/>
    <n v="3"/>
    <n v="2"/>
    <n v="80"/>
    <n v="0"/>
    <n v="9"/>
    <n v="2"/>
    <n v="8"/>
    <n v="7"/>
    <n v="0"/>
    <n v="7"/>
  </r>
  <r>
    <s v="No"/>
    <s v="Travel_Rarely"/>
    <x v="0"/>
    <s v="Current Employees"/>
    <x v="0"/>
    <x v="0"/>
    <s v="STAFF-1583"/>
    <x v="1086"/>
    <x v="0"/>
    <x v="0"/>
    <x v="0"/>
    <s v="No"/>
    <s v="Y"/>
    <n v="5"/>
    <n v="-2"/>
    <n v="0"/>
    <x v="8"/>
    <n v="0"/>
    <m/>
    <n v="0"/>
    <n v="1"/>
    <n v="437"/>
    <n v="16"/>
    <x v="3"/>
    <n v="1"/>
    <n v="2"/>
    <n v="90"/>
    <n v="3"/>
    <n v="2"/>
    <n v="2"/>
    <n v="4198"/>
    <n v="16379"/>
    <n v="2"/>
    <n v="12"/>
    <n v="3"/>
    <n v="2"/>
    <n v="80"/>
    <n v="0"/>
    <n v="8"/>
    <n v="4"/>
    <n v="3"/>
    <n v="2"/>
    <n v="1"/>
    <n v="2"/>
  </r>
  <r>
    <s v="No"/>
    <s v="Travel_Rarely"/>
    <x v="0"/>
    <s v="Current Employees"/>
    <x v="0"/>
    <x v="0"/>
    <s v="STAFF-1585"/>
    <x v="1087"/>
    <x v="0"/>
    <x v="0"/>
    <x v="0"/>
    <s v="No"/>
    <s v="Y"/>
    <n v="5"/>
    <n v="-2"/>
    <n v="0"/>
    <x v="9"/>
    <n v="0"/>
    <m/>
    <n v="0"/>
    <n v="1"/>
    <n v="884"/>
    <n v="1"/>
    <x v="2"/>
    <n v="1"/>
    <n v="2"/>
    <n v="73"/>
    <n v="3"/>
    <n v="2"/>
    <n v="3"/>
    <n v="6815"/>
    <n v="21447"/>
    <n v="6"/>
    <n v="13"/>
    <n v="3"/>
    <n v="1"/>
    <n v="80"/>
    <n v="0"/>
    <n v="15"/>
    <n v="3"/>
    <n v="1"/>
    <n v="0"/>
    <n v="0"/>
    <n v="0"/>
  </r>
  <r>
    <s v="No"/>
    <s v="Travel_Rarely"/>
    <x v="4"/>
    <s v="Current Employees"/>
    <x v="0"/>
    <x v="2"/>
    <s v="STAFF-1657"/>
    <x v="1088"/>
    <x v="0"/>
    <x v="6"/>
    <x v="0"/>
    <s v="No"/>
    <s v="Y"/>
    <n v="3"/>
    <n v="-2"/>
    <n v="0"/>
    <x v="35"/>
    <n v="0"/>
    <m/>
    <n v="0"/>
    <n v="1"/>
    <n v="1141"/>
    <n v="2"/>
    <x v="3"/>
    <n v="1"/>
    <n v="3"/>
    <n v="31"/>
    <n v="3"/>
    <n v="1"/>
    <n v="3"/>
    <n v="2783"/>
    <n v="13251"/>
    <n v="1"/>
    <n v="19"/>
    <n v="3"/>
    <n v="1"/>
    <n v="80"/>
    <n v="0"/>
    <n v="2"/>
    <n v="3"/>
    <n v="2"/>
    <n v="2"/>
    <n v="2"/>
    <n v="2"/>
  </r>
  <r>
    <s v="No"/>
    <s v="Travel_Rarely"/>
    <x v="0"/>
    <s v="Current Employees"/>
    <x v="0"/>
    <x v="0"/>
    <s v="STAFF-1710"/>
    <x v="1089"/>
    <x v="0"/>
    <x v="6"/>
    <x v="0"/>
    <s v="No"/>
    <s v="Y"/>
    <n v="2"/>
    <n v="-2"/>
    <n v="0"/>
    <x v="9"/>
    <n v="0"/>
    <m/>
    <n v="0"/>
    <n v="1"/>
    <n v="530"/>
    <n v="2"/>
    <x v="2"/>
    <n v="1"/>
    <n v="3"/>
    <n v="51"/>
    <n v="3"/>
    <n v="2"/>
    <n v="4"/>
    <n v="4502"/>
    <n v="7439"/>
    <n v="3"/>
    <n v="15"/>
    <n v="3"/>
    <n v="3"/>
    <n v="80"/>
    <n v="0"/>
    <n v="17"/>
    <n v="2"/>
    <n v="13"/>
    <n v="7"/>
    <n v="6"/>
    <n v="7"/>
  </r>
  <r>
    <s v="No"/>
    <s v="Travel_Rarely"/>
    <x v="2"/>
    <s v="Current Employees"/>
    <x v="0"/>
    <x v="0"/>
    <s v="STAFF-1779"/>
    <x v="1090"/>
    <x v="0"/>
    <x v="0"/>
    <x v="0"/>
    <s v="No"/>
    <s v="Y"/>
    <n v="3"/>
    <n v="-2"/>
    <n v="0"/>
    <x v="13"/>
    <n v="0"/>
    <m/>
    <n v="0"/>
    <n v="1"/>
    <n v="511"/>
    <n v="3"/>
    <x v="0"/>
    <n v="1"/>
    <n v="4"/>
    <n v="32"/>
    <n v="1"/>
    <n v="2"/>
    <n v="4"/>
    <n v="6029"/>
    <n v="25353"/>
    <n v="5"/>
    <n v="12"/>
    <n v="3"/>
    <n v="1"/>
    <n v="80"/>
    <n v="0"/>
    <n v="6"/>
    <n v="3"/>
    <n v="2"/>
    <n v="2"/>
    <n v="2"/>
    <n v="2"/>
  </r>
  <r>
    <s v="No"/>
    <s v="Travel_Rarely"/>
    <x v="2"/>
    <s v="Current Employees"/>
    <x v="0"/>
    <x v="1"/>
    <s v="STAFF-2060"/>
    <x v="1091"/>
    <x v="0"/>
    <x v="6"/>
    <x v="0"/>
    <s v="No"/>
    <s v="Y"/>
    <n v="2"/>
    <n v="-2"/>
    <n v="0"/>
    <x v="25"/>
    <n v="0"/>
    <m/>
    <n v="0"/>
    <n v="1"/>
    <n v="1167"/>
    <n v="5"/>
    <x v="3"/>
    <n v="1"/>
    <n v="4"/>
    <n v="30"/>
    <n v="2"/>
    <n v="1"/>
    <n v="3"/>
    <n v="2966"/>
    <n v="21378"/>
    <n v="0"/>
    <n v="18"/>
    <n v="3"/>
    <n v="4"/>
    <n v="80"/>
    <n v="0"/>
    <n v="5"/>
    <n v="3"/>
    <n v="4"/>
    <n v="2"/>
    <n v="0"/>
    <n v="0"/>
  </r>
  <r>
    <s v="No"/>
    <s v="Travel_Rarely"/>
    <x v="1"/>
    <s v="Current Employees"/>
    <x v="0"/>
    <x v="0"/>
    <s v="STAFF-2046"/>
    <x v="1092"/>
    <x v="0"/>
    <x v="0"/>
    <x v="0"/>
    <s v="No"/>
    <s v="Y"/>
    <n v="3"/>
    <n v="-2"/>
    <n v="0"/>
    <x v="28"/>
    <n v="0"/>
    <m/>
    <n v="0"/>
    <n v="1"/>
    <n v="374"/>
    <n v="20"/>
    <x v="3"/>
    <n v="1"/>
    <n v="4"/>
    <n v="50"/>
    <n v="3"/>
    <n v="2"/>
    <n v="3"/>
    <n v="4850"/>
    <n v="23333"/>
    <n v="8"/>
    <n v="15"/>
    <n v="3"/>
    <n v="3"/>
    <n v="80"/>
    <n v="0"/>
    <n v="8"/>
    <n v="3"/>
    <n v="5"/>
    <n v="3"/>
    <n v="0"/>
    <n v="1"/>
  </r>
  <r>
    <s v="No"/>
    <s v="Travel_Rarely"/>
    <x v="1"/>
    <s v="Current Employees"/>
    <x v="0"/>
    <x v="3"/>
    <s v="STAFF-1757"/>
    <x v="1093"/>
    <x v="0"/>
    <x v="0"/>
    <x v="0"/>
    <s v="No"/>
    <s v="Y"/>
    <n v="1"/>
    <n v="-2"/>
    <n v="0"/>
    <x v="1"/>
    <n v="0"/>
    <m/>
    <n v="0"/>
    <n v="1"/>
    <n v="1313"/>
    <n v="11"/>
    <x v="2"/>
    <n v="1"/>
    <n v="4"/>
    <n v="80"/>
    <n v="3"/>
    <n v="2"/>
    <n v="2"/>
    <n v="4507"/>
    <n v="8191"/>
    <n v="3"/>
    <n v="12"/>
    <n v="3"/>
    <n v="3"/>
    <n v="80"/>
    <n v="0"/>
    <n v="8"/>
    <n v="4"/>
    <n v="5"/>
    <n v="1"/>
    <n v="0"/>
    <n v="4"/>
  </r>
  <r>
    <s v="No"/>
    <s v="Non-Travel"/>
    <x v="2"/>
    <s v="Current Employees"/>
    <x v="2"/>
    <x v="0"/>
    <s v="STAFF-1858"/>
    <x v="1094"/>
    <x v="1"/>
    <x v="8"/>
    <x v="2"/>
    <s v="No"/>
    <s v="Y"/>
    <n v="2"/>
    <n v="-2"/>
    <n v="0"/>
    <x v="14"/>
    <n v="0"/>
    <m/>
    <n v="0"/>
    <n v="1"/>
    <n v="280"/>
    <n v="1"/>
    <x v="0"/>
    <n v="1"/>
    <n v="3"/>
    <n v="43"/>
    <n v="3"/>
    <n v="1"/>
    <n v="4"/>
    <n v="2706"/>
    <n v="10494"/>
    <n v="1"/>
    <n v="15"/>
    <n v="3"/>
    <n v="2"/>
    <n v="80"/>
    <n v="1"/>
    <n v="3"/>
    <n v="3"/>
    <n v="3"/>
    <n v="2"/>
    <n v="2"/>
    <n v="2"/>
  </r>
  <r>
    <s v="No"/>
    <s v="Non-Travel"/>
    <x v="0"/>
    <s v="Current Employees"/>
    <x v="2"/>
    <x v="5"/>
    <s v="STAFF-1805"/>
    <x v="1095"/>
    <x v="1"/>
    <x v="8"/>
    <x v="2"/>
    <s v="No"/>
    <s v="Y"/>
    <n v="3"/>
    <n v="-2"/>
    <n v="0"/>
    <x v="8"/>
    <n v="0"/>
    <m/>
    <n v="0"/>
    <n v="1"/>
    <n v="1336"/>
    <n v="2"/>
    <x v="3"/>
    <n v="1"/>
    <n v="1"/>
    <n v="100"/>
    <n v="3"/>
    <n v="1"/>
    <n v="2"/>
    <n v="2592"/>
    <n v="7129"/>
    <n v="5"/>
    <n v="13"/>
    <n v="3"/>
    <n v="4"/>
    <n v="80"/>
    <n v="3"/>
    <n v="13"/>
    <n v="3"/>
    <n v="11"/>
    <n v="10"/>
    <n v="3"/>
    <n v="8"/>
  </r>
  <r>
    <s v="No"/>
    <s v="Non-Travel"/>
    <x v="0"/>
    <s v="Current Employees"/>
    <x v="2"/>
    <x v="5"/>
    <s v="STAFF-1722"/>
    <x v="1096"/>
    <x v="1"/>
    <x v="8"/>
    <x v="1"/>
    <s v="No"/>
    <s v="Y"/>
    <n v="4"/>
    <n v="-2"/>
    <n v="0"/>
    <x v="0"/>
    <n v="0"/>
    <m/>
    <n v="0"/>
    <n v="1"/>
    <n v="552"/>
    <n v="4"/>
    <x v="3"/>
    <n v="1"/>
    <n v="3"/>
    <n v="60"/>
    <n v="1"/>
    <n v="2"/>
    <n v="2"/>
    <n v="6430"/>
    <n v="20794"/>
    <n v="6"/>
    <n v="19"/>
    <n v="3"/>
    <n v="2"/>
    <n v="80"/>
    <n v="1"/>
    <n v="10"/>
    <n v="3"/>
    <n v="3"/>
    <n v="2"/>
    <n v="1"/>
    <n v="2"/>
  </r>
  <r>
    <s v="No"/>
    <s v="Non-Travel"/>
    <x v="0"/>
    <s v="Current Employees"/>
    <x v="1"/>
    <x v="2"/>
    <s v="STAFF-1804"/>
    <x v="1097"/>
    <x v="1"/>
    <x v="3"/>
    <x v="2"/>
    <s v="No"/>
    <s v="Y"/>
    <n v="6"/>
    <n v="-2"/>
    <n v="0"/>
    <x v="10"/>
    <n v="0"/>
    <m/>
    <n v="0"/>
    <n v="1"/>
    <n v="1180"/>
    <n v="2"/>
    <x v="0"/>
    <n v="1"/>
    <n v="2"/>
    <n v="90"/>
    <n v="3"/>
    <n v="2"/>
    <n v="4"/>
    <n v="5762"/>
    <n v="24442"/>
    <n v="2"/>
    <n v="14"/>
    <n v="3"/>
    <n v="3"/>
    <n v="80"/>
    <n v="1"/>
    <n v="15"/>
    <n v="3"/>
    <n v="7"/>
    <n v="7"/>
    <n v="1"/>
    <n v="7"/>
  </r>
  <r>
    <s v="No"/>
    <s v="Non-Travel"/>
    <x v="0"/>
    <s v="Current Employees"/>
    <x v="1"/>
    <x v="2"/>
    <s v="STAFF-1468"/>
    <x v="1098"/>
    <x v="1"/>
    <x v="7"/>
    <x v="2"/>
    <s v="No"/>
    <s v="Y"/>
    <n v="5"/>
    <n v="-2"/>
    <n v="0"/>
    <x v="32"/>
    <n v="0"/>
    <m/>
    <n v="0"/>
    <n v="1"/>
    <n v="218"/>
    <n v="8"/>
    <x v="1"/>
    <n v="1"/>
    <n v="4"/>
    <n v="55"/>
    <n v="2"/>
    <n v="3"/>
    <n v="2"/>
    <n v="13757"/>
    <n v="25178"/>
    <n v="2"/>
    <n v="11"/>
    <n v="3"/>
    <n v="3"/>
    <n v="80"/>
    <n v="1"/>
    <n v="16"/>
    <n v="3"/>
    <n v="9"/>
    <n v="8"/>
    <n v="4"/>
    <n v="8"/>
  </r>
  <r>
    <s v="No"/>
    <s v="Non-Travel"/>
    <x v="2"/>
    <s v="Current Employees"/>
    <x v="1"/>
    <x v="4"/>
    <s v="STAFF-1482"/>
    <x v="1099"/>
    <x v="1"/>
    <x v="1"/>
    <x v="2"/>
    <s v="No"/>
    <s v="Y"/>
    <n v="2"/>
    <n v="-2"/>
    <n v="0"/>
    <x v="7"/>
    <n v="0"/>
    <m/>
    <n v="0"/>
    <n v="1"/>
    <n v="990"/>
    <n v="7"/>
    <x v="3"/>
    <n v="1"/>
    <n v="4"/>
    <n v="64"/>
    <n v="3"/>
    <n v="1"/>
    <n v="4"/>
    <n v="1274"/>
    <n v="7152"/>
    <n v="1"/>
    <n v="13"/>
    <n v="3"/>
    <n v="2"/>
    <n v="80"/>
    <n v="2"/>
    <n v="1"/>
    <n v="2"/>
    <n v="1"/>
    <n v="0"/>
    <n v="0"/>
    <n v="0"/>
  </r>
  <r>
    <s v="No"/>
    <s v="Non-Travel"/>
    <x v="0"/>
    <s v="Current Employees"/>
    <x v="1"/>
    <x v="1"/>
    <s v="STAFF-1449"/>
    <x v="1100"/>
    <x v="1"/>
    <x v="2"/>
    <x v="2"/>
    <s v="No"/>
    <s v="Y"/>
    <n v="2"/>
    <n v="-2"/>
    <n v="0"/>
    <x v="32"/>
    <n v="0"/>
    <m/>
    <n v="0"/>
    <n v="1"/>
    <n v="663"/>
    <n v="9"/>
    <x v="2"/>
    <n v="1"/>
    <n v="3"/>
    <n v="81"/>
    <n v="3"/>
    <n v="2"/>
    <n v="3"/>
    <n v="3975"/>
    <n v="23099"/>
    <n v="3"/>
    <n v="11"/>
    <n v="3"/>
    <n v="3"/>
    <n v="80"/>
    <n v="2"/>
    <n v="11"/>
    <n v="4"/>
    <n v="8"/>
    <n v="7"/>
    <n v="0"/>
    <n v="7"/>
  </r>
  <r>
    <s v="No"/>
    <s v="Non-Travel"/>
    <x v="2"/>
    <s v="Current Employees"/>
    <x v="1"/>
    <x v="4"/>
    <s v="STAFF-1771"/>
    <x v="1101"/>
    <x v="1"/>
    <x v="1"/>
    <x v="2"/>
    <s v="No"/>
    <s v="Y"/>
    <n v="2"/>
    <n v="-2"/>
    <n v="0"/>
    <x v="3"/>
    <n v="0"/>
    <m/>
    <n v="0"/>
    <n v="1"/>
    <n v="775"/>
    <n v="4"/>
    <x v="3"/>
    <n v="1"/>
    <n v="4"/>
    <n v="90"/>
    <n v="3"/>
    <n v="2"/>
    <n v="4"/>
    <n v="3055"/>
    <n v="6194"/>
    <n v="5"/>
    <n v="15"/>
    <n v="3"/>
    <n v="4"/>
    <n v="80"/>
    <n v="2"/>
    <n v="11"/>
    <n v="2"/>
    <n v="9"/>
    <n v="8"/>
    <n v="1"/>
    <n v="7"/>
  </r>
  <r>
    <s v="No"/>
    <s v="Non-Travel"/>
    <x v="2"/>
    <s v="Current Employees"/>
    <x v="1"/>
    <x v="2"/>
    <s v="STAFF-1994"/>
    <x v="1102"/>
    <x v="1"/>
    <x v="2"/>
    <x v="2"/>
    <s v="No"/>
    <s v="Y"/>
    <n v="2"/>
    <n v="-2"/>
    <n v="0"/>
    <x v="3"/>
    <n v="0"/>
    <m/>
    <n v="0"/>
    <n v="1"/>
    <n v="1313"/>
    <n v="1"/>
    <x v="0"/>
    <n v="1"/>
    <n v="2"/>
    <n v="59"/>
    <n v="2"/>
    <n v="1"/>
    <n v="3"/>
    <n v="2008"/>
    <n v="20439"/>
    <n v="1"/>
    <n v="12"/>
    <n v="3"/>
    <n v="3"/>
    <n v="80"/>
    <n v="3"/>
    <n v="1"/>
    <n v="2"/>
    <n v="1"/>
    <n v="1"/>
    <n v="0"/>
    <n v="0"/>
  </r>
  <r>
    <s v="No"/>
    <s v="Non-Travel"/>
    <x v="1"/>
    <s v="Current Employees"/>
    <x v="1"/>
    <x v="4"/>
    <s v="STAFF-1934"/>
    <x v="1103"/>
    <x v="1"/>
    <x v="1"/>
    <x v="1"/>
    <s v="No"/>
    <s v="Y"/>
    <n v="4"/>
    <n v="-2"/>
    <n v="0"/>
    <x v="40"/>
    <n v="0"/>
    <m/>
    <n v="0"/>
    <n v="1"/>
    <n v="1169"/>
    <n v="14"/>
    <x v="2"/>
    <n v="1"/>
    <n v="4"/>
    <n v="64"/>
    <n v="3"/>
    <n v="2"/>
    <n v="4"/>
    <n v="5467"/>
    <n v="2125"/>
    <n v="8"/>
    <n v="18"/>
    <n v="3"/>
    <n v="3"/>
    <n v="80"/>
    <n v="1"/>
    <n v="16"/>
    <n v="4"/>
    <n v="8"/>
    <n v="7"/>
    <n v="1"/>
    <n v="7"/>
  </r>
  <r>
    <s v="No"/>
    <s v="Non-Travel"/>
    <x v="2"/>
    <s v="Current Employees"/>
    <x v="1"/>
    <x v="4"/>
    <s v="STAFF-1574"/>
    <x v="1104"/>
    <x v="1"/>
    <x v="1"/>
    <x v="1"/>
    <s v="No"/>
    <s v="Y"/>
    <n v="3"/>
    <n v="-2"/>
    <n v="0"/>
    <x v="5"/>
    <n v="0"/>
    <m/>
    <n v="0"/>
    <n v="1"/>
    <n v="1200"/>
    <n v="1"/>
    <x v="2"/>
    <n v="1"/>
    <n v="4"/>
    <n v="62"/>
    <n v="3"/>
    <n v="2"/>
    <n v="4"/>
    <n v="4087"/>
    <n v="25174"/>
    <n v="4"/>
    <n v="14"/>
    <n v="3"/>
    <n v="2"/>
    <n v="80"/>
    <n v="1"/>
    <n v="9"/>
    <n v="2"/>
    <n v="6"/>
    <n v="5"/>
    <n v="1"/>
    <n v="2"/>
  </r>
  <r>
    <s v="No"/>
    <s v="Non-Travel"/>
    <x v="0"/>
    <s v="Current Employees"/>
    <x v="1"/>
    <x v="0"/>
    <s v="STAFF-1813"/>
    <x v="1105"/>
    <x v="1"/>
    <x v="1"/>
    <x v="0"/>
    <s v="No"/>
    <s v="Y"/>
    <n v="2"/>
    <n v="-2"/>
    <n v="0"/>
    <x v="23"/>
    <n v="0"/>
    <m/>
    <n v="0"/>
    <n v="1"/>
    <n v="343"/>
    <n v="9"/>
    <x v="3"/>
    <n v="1"/>
    <n v="1"/>
    <n v="52"/>
    <n v="3"/>
    <n v="1"/>
    <n v="3"/>
    <n v="2438"/>
    <n v="24978"/>
    <n v="4"/>
    <n v="13"/>
    <n v="3"/>
    <n v="3"/>
    <n v="80"/>
    <n v="0"/>
    <n v="7"/>
    <n v="2"/>
    <n v="3"/>
    <n v="2"/>
    <n v="1"/>
    <n v="2"/>
  </r>
  <r>
    <s v="No"/>
    <s v="Non-Travel"/>
    <x v="2"/>
    <s v="Current Employees"/>
    <x v="1"/>
    <x v="2"/>
    <s v="STAFF-2057"/>
    <x v="1106"/>
    <x v="1"/>
    <x v="3"/>
    <x v="0"/>
    <s v="No"/>
    <s v="Y"/>
    <n v="2"/>
    <n v="-2"/>
    <n v="0"/>
    <x v="12"/>
    <n v="0"/>
    <m/>
    <n v="0"/>
    <n v="1"/>
    <n v="325"/>
    <n v="5"/>
    <x v="3"/>
    <n v="1"/>
    <n v="2"/>
    <n v="74"/>
    <n v="3"/>
    <n v="2"/>
    <n v="3"/>
    <n v="9936"/>
    <n v="3787"/>
    <n v="0"/>
    <n v="19"/>
    <n v="3"/>
    <n v="2"/>
    <n v="80"/>
    <n v="0"/>
    <n v="10"/>
    <n v="3"/>
    <n v="9"/>
    <n v="4"/>
    <n v="1"/>
    <n v="7"/>
  </r>
  <r>
    <s v="No"/>
    <s v="Non-Travel"/>
    <x v="2"/>
    <s v="Current Employees"/>
    <x v="1"/>
    <x v="4"/>
    <s v="STAFF-1764"/>
    <x v="1107"/>
    <x v="1"/>
    <x v="1"/>
    <x v="0"/>
    <s v="No"/>
    <s v="Y"/>
    <n v="3"/>
    <n v="-2"/>
    <n v="0"/>
    <x v="5"/>
    <n v="0"/>
    <m/>
    <n v="0"/>
    <n v="1"/>
    <n v="953"/>
    <n v="5"/>
    <x v="2"/>
    <n v="1"/>
    <n v="4"/>
    <n v="65"/>
    <n v="3"/>
    <n v="1"/>
    <n v="4"/>
    <n v="2718"/>
    <n v="17674"/>
    <n v="2"/>
    <n v="14"/>
    <n v="3"/>
    <n v="2"/>
    <n v="80"/>
    <n v="0"/>
    <n v="12"/>
    <n v="3"/>
    <n v="7"/>
    <n v="7"/>
    <n v="0"/>
    <n v="7"/>
  </r>
  <r>
    <s v="No"/>
    <s v="Non-Travel"/>
    <x v="0"/>
    <s v="Current Employees"/>
    <x v="1"/>
    <x v="0"/>
    <s v="STAFF-1471"/>
    <x v="1108"/>
    <x v="1"/>
    <x v="2"/>
    <x v="0"/>
    <s v="No"/>
    <s v="Y"/>
    <n v="5"/>
    <n v="-2"/>
    <n v="0"/>
    <x v="20"/>
    <n v="0"/>
    <m/>
    <n v="0"/>
    <n v="1"/>
    <n v="981"/>
    <n v="5"/>
    <x v="3"/>
    <n v="1"/>
    <n v="3"/>
    <n v="90"/>
    <n v="2"/>
    <n v="1"/>
    <n v="3"/>
    <n v="3162"/>
    <n v="7973"/>
    <n v="3"/>
    <n v="14"/>
    <n v="3"/>
    <n v="4"/>
    <n v="80"/>
    <n v="0"/>
    <n v="7"/>
    <n v="3"/>
    <n v="5"/>
    <n v="2"/>
    <n v="0"/>
    <n v="3"/>
  </r>
  <r>
    <s v="No"/>
    <s v="Non-Travel"/>
    <x v="2"/>
    <s v="Current Employees"/>
    <x v="1"/>
    <x v="2"/>
    <s v="STAFF-1947"/>
    <x v="1109"/>
    <x v="1"/>
    <x v="1"/>
    <x v="0"/>
    <s v="No"/>
    <s v="Y"/>
    <n v="3"/>
    <n v="-2"/>
    <n v="0"/>
    <x v="14"/>
    <n v="0"/>
    <m/>
    <n v="0"/>
    <n v="1"/>
    <n v="1103"/>
    <n v="16"/>
    <x v="3"/>
    <n v="1"/>
    <n v="3"/>
    <n v="49"/>
    <n v="3"/>
    <n v="1"/>
    <n v="3"/>
    <n v="2144"/>
    <n v="2122"/>
    <n v="1"/>
    <n v="14"/>
    <n v="3"/>
    <n v="3"/>
    <n v="80"/>
    <n v="0"/>
    <n v="5"/>
    <n v="2"/>
    <n v="5"/>
    <n v="3"/>
    <n v="1"/>
    <n v="4"/>
  </r>
  <r>
    <s v="No"/>
    <s v="Non-Travel"/>
    <x v="0"/>
    <s v="Current Employees"/>
    <x v="1"/>
    <x v="4"/>
    <s v="STAFF-1440"/>
    <x v="1110"/>
    <x v="1"/>
    <x v="2"/>
    <x v="0"/>
    <s v="No"/>
    <s v="Y"/>
    <n v="2"/>
    <n v="-2"/>
    <n v="0"/>
    <x v="2"/>
    <n v="0"/>
    <m/>
    <n v="0"/>
    <n v="1"/>
    <n v="1413"/>
    <n v="5"/>
    <x v="0"/>
    <n v="1"/>
    <n v="4"/>
    <n v="84"/>
    <n v="4"/>
    <n v="1"/>
    <n v="4"/>
    <n v="3500"/>
    <n v="25470"/>
    <n v="0"/>
    <n v="14"/>
    <n v="3"/>
    <n v="1"/>
    <n v="80"/>
    <n v="0"/>
    <n v="7"/>
    <n v="1"/>
    <n v="6"/>
    <n v="5"/>
    <n v="1"/>
    <n v="3"/>
  </r>
  <r>
    <s v="No"/>
    <s v="Non-Travel"/>
    <x v="0"/>
    <s v="Current Employees"/>
    <x v="1"/>
    <x v="0"/>
    <s v="STAFF-1976"/>
    <x v="1111"/>
    <x v="1"/>
    <x v="1"/>
    <x v="0"/>
    <s v="No"/>
    <s v="Y"/>
    <n v="2"/>
    <n v="-2"/>
    <n v="0"/>
    <x v="19"/>
    <n v="0"/>
    <m/>
    <n v="0"/>
    <n v="1"/>
    <n v="335"/>
    <n v="23"/>
    <x v="0"/>
    <n v="1"/>
    <n v="4"/>
    <n v="37"/>
    <n v="2"/>
    <n v="2"/>
    <n v="3"/>
    <n v="4332"/>
    <n v="14811"/>
    <n v="1"/>
    <n v="12"/>
    <n v="3"/>
    <n v="4"/>
    <n v="80"/>
    <n v="0"/>
    <n v="20"/>
    <n v="3"/>
    <n v="20"/>
    <n v="9"/>
    <n v="3"/>
    <n v="7"/>
  </r>
  <r>
    <s v="No"/>
    <s v="Non-Travel"/>
    <x v="0"/>
    <s v="Current Employees"/>
    <x v="1"/>
    <x v="0"/>
    <s v="STAFF-2022"/>
    <x v="1112"/>
    <x v="1"/>
    <x v="5"/>
    <x v="0"/>
    <s v="No"/>
    <s v="Y"/>
    <n v="3"/>
    <n v="-2"/>
    <n v="0"/>
    <x v="22"/>
    <n v="0"/>
    <m/>
    <n v="0"/>
    <n v="1"/>
    <n v="105"/>
    <n v="9"/>
    <x v="3"/>
    <n v="1"/>
    <n v="4"/>
    <n v="87"/>
    <n v="3"/>
    <n v="5"/>
    <n v="4"/>
    <n v="19431"/>
    <n v="15302"/>
    <n v="2"/>
    <n v="13"/>
    <n v="3"/>
    <n v="3"/>
    <n v="80"/>
    <n v="0"/>
    <n v="21"/>
    <n v="2"/>
    <n v="6"/>
    <n v="0"/>
    <n v="1"/>
    <n v="3"/>
  </r>
  <r>
    <s v="No"/>
    <s v="Non-Travel"/>
    <x v="1"/>
    <s v="Current Employees"/>
    <x v="0"/>
    <x v="0"/>
    <s v="STAFF-2019"/>
    <x v="1113"/>
    <x v="1"/>
    <x v="6"/>
    <x v="2"/>
    <s v="No"/>
    <s v="Y"/>
    <n v="3"/>
    <n v="-2"/>
    <n v="0"/>
    <x v="39"/>
    <n v="0"/>
    <m/>
    <n v="0"/>
    <n v="1"/>
    <n v="585"/>
    <n v="29"/>
    <x v="2"/>
    <n v="1"/>
    <n v="1"/>
    <n v="40"/>
    <n v="3"/>
    <n v="1"/>
    <n v="4"/>
    <n v="3482"/>
    <n v="19788"/>
    <n v="2"/>
    <n v="15"/>
    <n v="3"/>
    <n v="2"/>
    <n v="80"/>
    <n v="2"/>
    <n v="16"/>
    <n v="2"/>
    <n v="9"/>
    <n v="8"/>
    <n v="0"/>
    <n v="0"/>
  </r>
  <r>
    <s v="No"/>
    <s v="Non-Travel"/>
    <x v="1"/>
    <s v="Current Employees"/>
    <x v="0"/>
    <x v="3"/>
    <s v="STAFF-1612"/>
    <x v="1114"/>
    <x v="1"/>
    <x v="0"/>
    <x v="1"/>
    <s v="No"/>
    <s v="Y"/>
    <n v="2"/>
    <n v="-2"/>
    <n v="0"/>
    <x v="28"/>
    <n v="0"/>
    <m/>
    <n v="0"/>
    <n v="1"/>
    <n v="336"/>
    <n v="26"/>
    <x v="3"/>
    <n v="1"/>
    <n v="1"/>
    <n v="52"/>
    <n v="2"/>
    <n v="2"/>
    <n v="2"/>
    <n v="4385"/>
    <n v="24162"/>
    <n v="1"/>
    <n v="15"/>
    <n v="3"/>
    <n v="1"/>
    <n v="80"/>
    <n v="1"/>
    <n v="10"/>
    <n v="3"/>
    <n v="10"/>
    <n v="7"/>
    <n v="4"/>
    <n v="5"/>
  </r>
  <r>
    <s v="No"/>
    <s v="Non-Travel"/>
    <x v="1"/>
    <s v="Current Employees"/>
    <x v="0"/>
    <x v="3"/>
    <s v="STAFF-1731"/>
    <x v="1115"/>
    <x v="1"/>
    <x v="0"/>
    <x v="1"/>
    <s v="No"/>
    <s v="Y"/>
    <n v="3"/>
    <n v="-2"/>
    <n v="0"/>
    <x v="40"/>
    <n v="0"/>
    <m/>
    <n v="0"/>
    <n v="1"/>
    <n v="543"/>
    <n v="2"/>
    <x v="2"/>
    <n v="1"/>
    <n v="3"/>
    <n v="87"/>
    <n v="3"/>
    <n v="2"/>
    <n v="2"/>
    <n v="4978"/>
    <n v="3536"/>
    <n v="7"/>
    <n v="11"/>
    <n v="3"/>
    <n v="4"/>
    <n v="80"/>
    <n v="1"/>
    <n v="4"/>
    <n v="1"/>
    <n v="1"/>
    <n v="0"/>
    <n v="0"/>
    <n v="0"/>
  </r>
  <r>
    <s v="No"/>
    <s v="Non-Travel"/>
    <x v="1"/>
    <s v="Current Employees"/>
    <x v="0"/>
    <x v="0"/>
    <s v="STAFF-1801"/>
    <x v="1116"/>
    <x v="1"/>
    <x v="0"/>
    <x v="0"/>
    <s v="No"/>
    <s v="Y"/>
    <n v="3"/>
    <n v="-2"/>
    <n v="0"/>
    <x v="21"/>
    <n v="0"/>
    <m/>
    <n v="0"/>
    <n v="1"/>
    <n v="849"/>
    <n v="26"/>
    <x v="0"/>
    <n v="1"/>
    <n v="2"/>
    <n v="98"/>
    <n v="2"/>
    <n v="2"/>
    <n v="2"/>
    <n v="7991"/>
    <n v="25166"/>
    <n v="8"/>
    <n v="15"/>
    <n v="3"/>
    <n v="3"/>
    <n v="80"/>
    <n v="0"/>
    <n v="6"/>
    <n v="3"/>
    <n v="2"/>
    <n v="2"/>
    <n v="2"/>
    <n v="2"/>
  </r>
  <r>
    <s v="No"/>
    <s v="Travel_Frequently"/>
    <x v="0"/>
    <s v="Current Employees"/>
    <x v="2"/>
    <x v="5"/>
    <s v="STAFF-1563"/>
    <x v="1117"/>
    <x v="1"/>
    <x v="8"/>
    <x v="1"/>
    <s v="No"/>
    <s v="Y"/>
    <n v="2"/>
    <n v="-2"/>
    <n v="0"/>
    <x v="8"/>
    <n v="0"/>
    <m/>
    <n v="0"/>
    <n v="1"/>
    <n v="888"/>
    <n v="10"/>
    <x v="2"/>
    <n v="1"/>
    <n v="3"/>
    <n v="71"/>
    <n v="3"/>
    <n v="2"/>
    <n v="3"/>
    <n v="6077"/>
    <n v="14814"/>
    <n v="3"/>
    <n v="11"/>
    <n v="3"/>
    <n v="3"/>
    <n v="80"/>
    <n v="0"/>
    <n v="10"/>
    <n v="3"/>
    <n v="6"/>
    <n v="3"/>
    <n v="1"/>
    <n v="2"/>
  </r>
  <r>
    <s v="No"/>
    <s v="Travel_Frequently"/>
    <x v="4"/>
    <s v="Current Employees"/>
    <x v="2"/>
    <x v="2"/>
    <s v="STAFF-1746"/>
    <x v="1118"/>
    <x v="1"/>
    <x v="8"/>
    <x v="1"/>
    <s v="No"/>
    <s v="Y"/>
    <n v="2"/>
    <n v="-2"/>
    <n v="0"/>
    <x v="17"/>
    <n v="0"/>
    <m/>
    <n v="0"/>
    <n v="1"/>
    <n v="897"/>
    <n v="10"/>
    <x v="3"/>
    <n v="1"/>
    <n v="1"/>
    <n v="59"/>
    <n v="3"/>
    <n v="1"/>
    <n v="4"/>
    <n v="2145"/>
    <n v="2097"/>
    <n v="0"/>
    <n v="14"/>
    <n v="3"/>
    <n v="4"/>
    <n v="80"/>
    <n v="1"/>
    <n v="3"/>
    <n v="3"/>
    <n v="2"/>
    <n v="2"/>
    <n v="2"/>
    <n v="1"/>
  </r>
  <r>
    <s v="No"/>
    <s v="Travel_Frequently"/>
    <x v="2"/>
    <s v="Current Employees"/>
    <x v="1"/>
    <x v="0"/>
    <s v="STAFF-1590"/>
    <x v="1119"/>
    <x v="1"/>
    <x v="4"/>
    <x v="2"/>
    <s v="No"/>
    <s v="Y"/>
    <n v="0"/>
    <n v="-2"/>
    <n v="0"/>
    <x v="11"/>
    <n v="0"/>
    <m/>
    <n v="0"/>
    <n v="1"/>
    <n v="995"/>
    <n v="2"/>
    <x v="1"/>
    <n v="1"/>
    <n v="1"/>
    <n v="87"/>
    <n v="3"/>
    <n v="2"/>
    <n v="4"/>
    <n v="8853"/>
    <n v="24483"/>
    <n v="1"/>
    <n v="19"/>
    <n v="3"/>
    <n v="4"/>
    <n v="80"/>
    <n v="1"/>
    <n v="6"/>
    <n v="4"/>
    <n v="6"/>
    <n v="4"/>
    <n v="1"/>
    <n v="3"/>
  </r>
  <r>
    <s v="No"/>
    <s v="Travel_Frequently"/>
    <x v="2"/>
    <s v="Current Employees"/>
    <x v="1"/>
    <x v="0"/>
    <s v="STAFF-1615"/>
    <x v="1120"/>
    <x v="1"/>
    <x v="3"/>
    <x v="2"/>
    <s v="No"/>
    <s v="Y"/>
    <n v="3"/>
    <n v="-2"/>
    <n v="0"/>
    <x v="13"/>
    <n v="0"/>
    <m/>
    <n v="0"/>
    <n v="1"/>
    <n v="426"/>
    <n v="10"/>
    <x v="2"/>
    <n v="1"/>
    <n v="3"/>
    <n v="42"/>
    <n v="4"/>
    <n v="2"/>
    <n v="4"/>
    <n v="4724"/>
    <n v="17000"/>
    <n v="1"/>
    <n v="13"/>
    <n v="3"/>
    <n v="1"/>
    <n v="80"/>
    <n v="1"/>
    <n v="9"/>
    <n v="3"/>
    <n v="9"/>
    <n v="7"/>
    <n v="7"/>
    <n v="2"/>
  </r>
  <r>
    <s v="No"/>
    <s v="Travel_Frequently"/>
    <x v="2"/>
    <s v="Current Employees"/>
    <x v="1"/>
    <x v="2"/>
    <s v="STAFF-1485"/>
    <x v="1121"/>
    <x v="1"/>
    <x v="7"/>
    <x v="2"/>
    <s v="No"/>
    <s v="Y"/>
    <n v="3"/>
    <n v="-2"/>
    <n v="0"/>
    <x v="13"/>
    <n v="0"/>
    <m/>
    <n v="0"/>
    <n v="1"/>
    <n v="829"/>
    <n v="15"/>
    <x v="3"/>
    <n v="1"/>
    <n v="2"/>
    <n v="71"/>
    <n v="3"/>
    <n v="4"/>
    <n v="3"/>
    <n v="17007"/>
    <n v="11929"/>
    <n v="7"/>
    <n v="14"/>
    <n v="3"/>
    <n v="4"/>
    <n v="80"/>
    <n v="2"/>
    <n v="16"/>
    <n v="2"/>
    <n v="14"/>
    <n v="8"/>
    <n v="6"/>
    <n v="9"/>
  </r>
  <r>
    <s v="No"/>
    <s v="Travel_Frequently"/>
    <x v="2"/>
    <s v="Current Employees"/>
    <x v="1"/>
    <x v="1"/>
    <s v="STAFF-1431"/>
    <x v="1122"/>
    <x v="1"/>
    <x v="1"/>
    <x v="2"/>
    <s v="No"/>
    <s v="Y"/>
    <n v="2"/>
    <n v="-2"/>
    <n v="0"/>
    <x v="13"/>
    <n v="0"/>
    <m/>
    <n v="0"/>
    <n v="1"/>
    <n v="560"/>
    <n v="1"/>
    <x v="2"/>
    <n v="1"/>
    <n v="4"/>
    <n v="91"/>
    <n v="3"/>
    <n v="1"/>
    <n v="3"/>
    <n v="2996"/>
    <n v="20284"/>
    <n v="5"/>
    <n v="14"/>
    <n v="3"/>
    <n v="3"/>
    <n v="80"/>
    <n v="2"/>
    <n v="10"/>
    <n v="3"/>
    <n v="4"/>
    <n v="3"/>
    <n v="1"/>
    <n v="3"/>
  </r>
  <r>
    <s v="No"/>
    <s v="Travel_Frequently"/>
    <x v="2"/>
    <s v="Current Employees"/>
    <x v="1"/>
    <x v="0"/>
    <s v="STAFF-1653"/>
    <x v="1123"/>
    <x v="1"/>
    <x v="3"/>
    <x v="2"/>
    <s v="No"/>
    <s v="Y"/>
    <n v="6"/>
    <n v="-2"/>
    <n v="0"/>
    <x v="36"/>
    <n v="0"/>
    <m/>
    <n v="0"/>
    <n v="1"/>
    <n v="772"/>
    <n v="2"/>
    <x v="1"/>
    <n v="1"/>
    <n v="4"/>
    <n v="77"/>
    <n v="4"/>
    <n v="2"/>
    <n v="3"/>
    <n v="5206"/>
    <n v="4973"/>
    <n v="1"/>
    <n v="17"/>
    <n v="3"/>
    <n v="3"/>
    <n v="80"/>
    <n v="2"/>
    <n v="7"/>
    <n v="3"/>
    <n v="7"/>
    <n v="7"/>
    <n v="0"/>
    <n v="7"/>
  </r>
  <r>
    <s v="No"/>
    <s v="Travel_Frequently"/>
    <x v="1"/>
    <s v="Current Employees"/>
    <x v="1"/>
    <x v="0"/>
    <s v="STAFF-1941"/>
    <x v="1124"/>
    <x v="1"/>
    <x v="7"/>
    <x v="1"/>
    <s v="No"/>
    <s v="Y"/>
    <n v="3"/>
    <n v="-2"/>
    <n v="0"/>
    <x v="1"/>
    <n v="0"/>
    <m/>
    <n v="0"/>
    <n v="1"/>
    <n v="1064"/>
    <n v="2"/>
    <x v="1"/>
    <n v="1"/>
    <n v="2"/>
    <n v="42"/>
    <n v="3"/>
    <n v="5"/>
    <n v="4"/>
    <n v="19161"/>
    <n v="13738"/>
    <n v="3"/>
    <n v="15"/>
    <n v="3"/>
    <n v="4"/>
    <n v="80"/>
    <n v="0"/>
    <n v="28"/>
    <n v="3"/>
    <n v="5"/>
    <n v="4"/>
    <n v="4"/>
    <n v="3"/>
  </r>
  <r>
    <s v="No"/>
    <s v="Travel_Frequently"/>
    <x v="2"/>
    <s v="Current Employees"/>
    <x v="1"/>
    <x v="2"/>
    <s v="STAFF-1852"/>
    <x v="1125"/>
    <x v="1"/>
    <x v="2"/>
    <x v="1"/>
    <s v="No"/>
    <s v="Y"/>
    <n v="3"/>
    <n v="-2"/>
    <n v="0"/>
    <x v="11"/>
    <n v="0"/>
    <m/>
    <n v="0"/>
    <n v="1"/>
    <n v="574"/>
    <n v="20"/>
    <x v="1"/>
    <n v="1"/>
    <n v="4"/>
    <n v="40"/>
    <n v="3"/>
    <n v="1"/>
    <n v="4"/>
    <n v="3812"/>
    <n v="7003"/>
    <n v="1"/>
    <n v="13"/>
    <n v="3"/>
    <n v="2"/>
    <n v="80"/>
    <n v="0"/>
    <n v="11"/>
    <n v="4"/>
    <n v="11"/>
    <n v="8"/>
    <n v="3"/>
    <n v="10"/>
  </r>
  <r>
    <s v="No"/>
    <s v="Travel_Frequently"/>
    <x v="0"/>
    <s v="Current Employees"/>
    <x v="1"/>
    <x v="0"/>
    <s v="STAFF-1997"/>
    <x v="1126"/>
    <x v="1"/>
    <x v="3"/>
    <x v="1"/>
    <s v="No"/>
    <s v="Y"/>
    <n v="1"/>
    <n v="-2"/>
    <n v="0"/>
    <x v="8"/>
    <n v="0"/>
    <m/>
    <n v="0"/>
    <n v="1"/>
    <n v="508"/>
    <n v="6"/>
    <x v="2"/>
    <n v="1"/>
    <n v="1"/>
    <n v="72"/>
    <n v="2"/>
    <n v="2"/>
    <n v="3"/>
    <n v="5321"/>
    <n v="14284"/>
    <n v="2"/>
    <n v="11"/>
    <n v="3"/>
    <n v="4"/>
    <n v="80"/>
    <n v="1"/>
    <n v="10"/>
    <n v="3"/>
    <n v="8"/>
    <n v="3"/>
    <n v="7"/>
    <n v="7"/>
  </r>
  <r>
    <s v="No"/>
    <s v="Travel_Frequently"/>
    <x v="2"/>
    <s v="Current Employees"/>
    <x v="1"/>
    <x v="0"/>
    <s v="STAFF-1720"/>
    <x v="1127"/>
    <x v="1"/>
    <x v="1"/>
    <x v="1"/>
    <s v="No"/>
    <s v="Y"/>
    <n v="3"/>
    <n v="-2"/>
    <n v="0"/>
    <x v="5"/>
    <n v="0"/>
    <m/>
    <n v="0"/>
    <n v="1"/>
    <n v="585"/>
    <n v="10"/>
    <x v="3"/>
    <n v="1"/>
    <n v="1"/>
    <n v="56"/>
    <n v="3"/>
    <n v="1"/>
    <n v="3"/>
    <n v="3433"/>
    <n v="17360"/>
    <n v="6"/>
    <n v="13"/>
    <n v="3"/>
    <n v="1"/>
    <n v="80"/>
    <n v="1"/>
    <n v="10"/>
    <n v="2"/>
    <n v="5"/>
    <n v="2"/>
    <n v="1"/>
    <n v="3"/>
  </r>
  <r>
    <s v="No"/>
    <s v="Travel_Frequently"/>
    <x v="2"/>
    <s v="Current Employees"/>
    <x v="1"/>
    <x v="1"/>
    <s v="STAFF-1918"/>
    <x v="1128"/>
    <x v="1"/>
    <x v="2"/>
    <x v="1"/>
    <s v="No"/>
    <s v="Y"/>
    <n v="3"/>
    <n v="-2"/>
    <n v="0"/>
    <x v="25"/>
    <n v="0"/>
    <m/>
    <n v="0"/>
    <n v="1"/>
    <n v="1096"/>
    <n v="6"/>
    <x v="3"/>
    <n v="1"/>
    <n v="3"/>
    <n v="61"/>
    <n v="4"/>
    <n v="1"/>
    <n v="4"/>
    <n v="2544"/>
    <n v="7102"/>
    <n v="0"/>
    <n v="18"/>
    <n v="3"/>
    <n v="1"/>
    <n v="80"/>
    <n v="1"/>
    <n v="8"/>
    <n v="3"/>
    <n v="7"/>
    <n v="7"/>
    <n v="7"/>
    <n v="7"/>
  </r>
  <r>
    <s v="No"/>
    <s v="Travel_Frequently"/>
    <x v="0"/>
    <s v="Current Employees"/>
    <x v="1"/>
    <x v="2"/>
    <s v="STAFF-2061"/>
    <x v="1129"/>
    <x v="1"/>
    <x v="2"/>
    <x v="1"/>
    <s v="No"/>
    <s v="Y"/>
    <n v="3"/>
    <n v="-2"/>
    <n v="0"/>
    <x v="9"/>
    <n v="0"/>
    <m/>
    <n v="0"/>
    <n v="1"/>
    <n v="884"/>
    <n v="23"/>
    <x v="0"/>
    <n v="1"/>
    <n v="3"/>
    <n v="41"/>
    <n v="4"/>
    <n v="2"/>
    <n v="4"/>
    <n v="2571"/>
    <n v="12290"/>
    <n v="4"/>
    <n v="17"/>
    <n v="3"/>
    <n v="3"/>
    <n v="80"/>
    <n v="1"/>
    <n v="17"/>
    <n v="3"/>
    <n v="5"/>
    <n v="2"/>
    <n v="0"/>
    <n v="3"/>
  </r>
  <r>
    <s v="No"/>
    <s v="Travel_Frequently"/>
    <x v="2"/>
    <s v="Current Employees"/>
    <x v="1"/>
    <x v="4"/>
    <s v="STAFF-1597"/>
    <x v="1130"/>
    <x v="1"/>
    <x v="4"/>
    <x v="1"/>
    <s v="No"/>
    <s v="Y"/>
    <n v="3"/>
    <n v="-2"/>
    <n v="0"/>
    <x v="13"/>
    <n v="0"/>
    <m/>
    <n v="0"/>
    <n v="1"/>
    <n v="653"/>
    <n v="10"/>
    <x v="2"/>
    <n v="1"/>
    <n v="4"/>
    <n v="92"/>
    <n v="2"/>
    <n v="2"/>
    <n v="4"/>
    <n v="5063"/>
    <n v="15332"/>
    <n v="1"/>
    <n v="14"/>
    <n v="3"/>
    <n v="2"/>
    <n v="80"/>
    <n v="1"/>
    <n v="8"/>
    <n v="2"/>
    <n v="8"/>
    <n v="2"/>
    <n v="7"/>
    <n v="7"/>
  </r>
  <r>
    <s v="No"/>
    <s v="Travel_Frequently"/>
    <x v="0"/>
    <s v="Current Employees"/>
    <x v="1"/>
    <x v="0"/>
    <s v="STAFF-1668"/>
    <x v="1131"/>
    <x v="1"/>
    <x v="1"/>
    <x v="1"/>
    <s v="No"/>
    <s v="Y"/>
    <n v="4"/>
    <n v="-2"/>
    <n v="0"/>
    <x v="8"/>
    <n v="0"/>
    <m/>
    <n v="0"/>
    <n v="1"/>
    <n v="1189"/>
    <n v="1"/>
    <x v="3"/>
    <n v="1"/>
    <n v="4"/>
    <n v="90"/>
    <n v="3"/>
    <n v="2"/>
    <n v="4"/>
    <n v="4735"/>
    <n v="9867"/>
    <n v="7"/>
    <n v="15"/>
    <n v="3"/>
    <n v="4"/>
    <n v="80"/>
    <n v="2"/>
    <n v="19"/>
    <n v="4"/>
    <n v="13"/>
    <n v="11"/>
    <n v="2"/>
    <n v="9"/>
  </r>
  <r>
    <s v="No"/>
    <s v="Travel_Frequently"/>
    <x v="1"/>
    <s v="Current Employees"/>
    <x v="1"/>
    <x v="2"/>
    <s v="STAFF-1922"/>
    <x v="1132"/>
    <x v="1"/>
    <x v="4"/>
    <x v="0"/>
    <s v="No"/>
    <s v="Y"/>
    <n v="3"/>
    <n v="-2"/>
    <n v="0"/>
    <x v="28"/>
    <n v="0"/>
    <m/>
    <n v="0"/>
    <n v="1"/>
    <n v="1297"/>
    <n v="1"/>
    <x v="2"/>
    <n v="1"/>
    <n v="2"/>
    <n v="44"/>
    <n v="3"/>
    <n v="2"/>
    <n v="3"/>
    <n v="5399"/>
    <n v="14511"/>
    <n v="4"/>
    <n v="12"/>
    <n v="3"/>
    <n v="3"/>
    <n v="80"/>
    <n v="0"/>
    <n v="12"/>
    <n v="3"/>
    <n v="4"/>
    <n v="2"/>
    <n v="0"/>
    <n v="3"/>
  </r>
  <r>
    <s v="No"/>
    <s v="Travel_Frequently"/>
    <x v="0"/>
    <s v="Current Employees"/>
    <x v="1"/>
    <x v="0"/>
    <s v="STAFF-1412"/>
    <x v="1133"/>
    <x v="1"/>
    <x v="3"/>
    <x v="0"/>
    <s v="No"/>
    <s v="Y"/>
    <n v="2"/>
    <n v="-2"/>
    <n v="0"/>
    <x v="10"/>
    <n v="0"/>
    <m/>
    <n v="0"/>
    <n v="1"/>
    <n v="200"/>
    <n v="18"/>
    <x v="0"/>
    <n v="1"/>
    <n v="3"/>
    <n v="60"/>
    <n v="3"/>
    <n v="3"/>
    <n v="4"/>
    <n v="9362"/>
    <n v="19944"/>
    <n v="2"/>
    <n v="11"/>
    <n v="3"/>
    <n v="3"/>
    <n v="80"/>
    <n v="0"/>
    <n v="10"/>
    <n v="3"/>
    <n v="2"/>
    <n v="2"/>
    <n v="2"/>
    <n v="2"/>
  </r>
  <r>
    <s v="No"/>
    <s v="Travel_Frequently"/>
    <x v="2"/>
    <s v="Current Employees"/>
    <x v="1"/>
    <x v="2"/>
    <s v="STAFF-1648"/>
    <x v="1134"/>
    <x v="1"/>
    <x v="1"/>
    <x v="0"/>
    <s v="No"/>
    <s v="Y"/>
    <n v="0"/>
    <n v="-2"/>
    <n v="0"/>
    <x v="4"/>
    <n v="0"/>
    <m/>
    <n v="0"/>
    <n v="1"/>
    <n v="591"/>
    <n v="2"/>
    <x v="3"/>
    <n v="1"/>
    <n v="4"/>
    <n v="87"/>
    <n v="3"/>
    <n v="1"/>
    <n v="4"/>
    <n v="2580"/>
    <n v="6297"/>
    <n v="2"/>
    <n v="13"/>
    <n v="3"/>
    <n v="3"/>
    <n v="80"/>
    <n v="0"/>
    <n v="6"/>
    <n v="2"/>
    <n v="4"/>
    <n v="2"/>
    <n v="1"/>
    <n v="2"/>
  </r>
  <r>
    <s v="No"/>
    <s v="Travel_Frequently"/>
    <x v="0"/>
    <s v="Current Employees"/>
    <x v="0"/>
    <x v="0"/>
    <s v="STAFF-1812"/>
    <x v="1135"/>
    <x v="1"/>
    <x v="0"/>
    <x v="2"/>
    <s v="No"/>
    <s v="Y"/>
    <n v="6"/>
    <n v="-2"/>
    <n v="0"/>
    <x v="22"/>
    <n v="0"/>
    <m/>
    <n v="0"/>
    <n v="1"/>
    <n v="766"/>
    <n v="20"/>
    <x v="3"/>
    <n v="1"/>
    <n v="3"/>
    <n v="83"/>
    <n v="3"/>
    <n v="2"/>
    <n v="4"/>
    <n v="4127"/>
    <n v="19188"/>
    <n v="2"/>
    <n v="18"/>
    <n v="3"/>
    <n v="4"/>
    <n v="80"/>
    <n v="1"/>
    <n v="7"/>
    <n v="3"/>
    <n v="2"/>
    <n v="1"/>
    <n v="2"/>
    <n v="2"/>
  </r>
  <r>
    <s v="No"/>
    <s v="Travel_Frequently"/>
    <x v="0"/>
    <s v="Current Employees"/>
    <x v="0"/>
    <x v="2"/>
    <s v="STAFF-1700"/>
    <x v="1136"/>
    <x v="1"/>
    <x v="0"/>
    <x v="2"/>
    <s v="No"/>
    <s v="Y"/>
    <n v="2"/>
    <n v="-2"/>
    <n v="0"/>
    <x v="2"/>
    <n v="0"/>
    <m/>
    <n v="0"/>
    <n v="1"/>
    <n v="1278"/>
    <n v="1"/>
    <x v="2"/>
    <n v="1"/>
    <n v="3"/>
    <n v="31"/>
    <n v="1"/>
    <n v="2"/>
    <n v="4"/>
    <n v="9525"/>
    <n v="7677"/>
    <n v="1"/>
    <n v="14"/>
    <n v="3"/>
    <n v="3"/>
    <n v="80"/>
    <n v="2"/>
    <n v="6"/>
    <n v="2"/>
    <n v="6"/>
    <n v="3"/>
    <n v="1"/>
    <n v="3"/>
  </r>
  <r>
    <s v="No"/>
    <s v="Travel_Frequently"/>
    <x v="1"/>
    <s v="Current Employees"/>
    <x v="0"/>
    <x v="2"/>
    <s v="STAFF-2065"/>
    <x v="1137"/>
    <x v="1"/>
    <x v="0"/>
    <x v="1"/>
    <s v="No"/>
    <s v="Y"/>
    <n v="3"/>
    <n v="-2"/>
    <n v="0"/>
    <x v="1"/>
    <n v="0"/>
    <m/>
    <n v="0"/>
    <n v="1"/>
    <n v="1023"/>
    <n v="2"/>
    <x v="3"/>
    <n v="1"/>
    <n v="4"/>
    <n v="63"/>
    <n v="2"/>
    <n v="2"/>
    <n v="2"/>
    <n v="5390"/>
    <n v="13243"/>
    <n v="2"/>
    <n v="14"/>
    <n v="3"/>
    <n v="4"/>
    <n v="80"/>
    <n v="0"/>
    <n v="17"/>
    <n v="2"/>
    <n v="9"/>
    <n v="6"/>
    <n v="0"/>
    <n v="8"/>
  </r>
  <r>
    <s v="No"/>
    <s v="Travel_Frequently"/>
    <x v="2"/>
    <s v="Current Employees"/>
    <x v="0"/>
    <x v="2"/>
    <s v="STAFF-1477"/>
    <x v="1138"/>
    <x v="1"/>
    <x v="0"/>
    <x v="1"/>
    <s v="No"/>
    <s v="Y"/>
    <n v="2"/>
    <n v="-2"/>
    <n v="0"/>
    <x v="3"/>
    <n v="0"/>
    <m/>
    <n v="0"/>
    <n v="1"/>
    <n v="430"/>
    <n v="7"/>
    <x v="3"/>
    <n v="1"/>
    <n v="4"/>
    <n v="54"/>
    <n v="3"/>
    <n v="2"/>
    <n v="3"/>
    <n v="4373"/>
    <n v="17456"/>
    <n v="0"/>
    <n v="14"/>
    <n v="3"/>
    <n v="1"/>
    <n v="80"/>
    <n v="2"/>
    <n v="5"/>
    <n v="3"/>
    <n v="4"/>
    <n v="3"/>
    <n v="0"/>
    <n v="3"/>
  </r>
  <r>
    <s v="No"/>
    <s v="Travel_Frequently"/>
    <x v="2"/>
    <s v="Current Employees"/>
    <x v="0"/>
    <x v="0"/>
    <s v="STAFF-1507"/>
    <x v="1139"/>
    <x v="1"/>
    <x v="0"/>
    <x v="0"/>
    <s v="No"/>
    <s v="Y"/>
    <n v="5"/>
    <n v="-2"/>
    <n v="0"/>
    <x v="14"/>
    <n v="0"/>
    <m/>
    <n v="0"/>
    <n v="1"/>
    <n v="467"/>
    <n v="7"/>
    <x v="3"/>
    <n v="1"/>
    <n v="3"/>
    <n v="55"/>
    <n v="3"/>
    <n v="2"/>
    <n v="3"/>
    <n v="4898"/>
    <n v="11827"/>
    <n v="0"/>
    <n v="14"/>
    <n v="3"/>
    <n v="4"/>
    <n v="80"/>
    <n v="0"/>
    <n v="5"/>
    <n v="3"/>
    <n v="4"/>
    <n v="2"/>
    <n v="1"/>
    <n v="3"/>
  </r>
  <r>
    <s v="No"/>
    <s v="Travel_Frequently"/>
    <x v="2"/>
    <s v="Current Employees"/>
    <x v="0"/>
    <x v="1"/>
    <s v="STAFF-1613"/>
    <x v="1140"/>
    <x v="1"/>
    <x v="0"/>
    <x v="0"/>
    <s v="No"/>
    <s v="Y"/>
    <n v="3"/>
    <n v="-2"/>
    <n v="0"/>
    <x v="12"/>
    <n v="0"/>
    <m/>
    <n v="0"/>
    <n v="1"/>
    <n v="715"/>
    <n v="2"/>
    <x v="2"/>
    <n v="1"/>
    <n v="4"/>
    <n v="54"/>
    <n v="3"/>
    <n v="2"/>
    <n v="3"/>
    <n v="5332"/>
    <n v="21602"/>
    <n v="7"/>
    <n v="13"/>
    <n v="3"/>
    <n v="4"/>
    <n v="80"/>
    <n v="0"/>
    <n v="10"/>
    <n v="3"/>
    <n v="5"/>
    <n v="2"/>
    <n v="0"/>
    <n v="3"/>
  </r>
  <r>
    <s v="No"/>
    <s v="Travel_Frequently"/>
    <x v="2"/>
    <s v="Current Employees"/>
    <x v="0"/>
    <x v="3"/>
    <s v="STAFF-1853"/>
    <x v="1141"/>
    <x v="1"/>
    <x v="0"/>
    <x v="0"/>
    <s v="No"/>
    <s v="Y"/>
    <n v="2"/>
    <n v="-2"/>
    <n v="0"/>
    <x v="5"/>
    <n v="0"/>
    <m/>
    <n v="0"/>
    <n v="1"/>
    <n v="1318"/>
    <n v="10"/>
    <x v="2"/>
    <n v="1"/>
    <n v="4"/>
    <n v="79"/>
    <n v="3"/>
    <n v="2"/>
    <n v="2"/>
    <n v="4648"/>
    <n v="26075"/>
    <n v="8"/>
    <n v="13"/>
    <n v="3"/>
    <n v="3"/>
    <n v="80"/>
    <n v="0"/>
    <n v="4"/>
    <n v="4"/>
    <n v="0"/>
    <n v="0"/>
    <n v="0"/>
    <n v="0"/>
  </r>
  <r>
    <s v="No"/>
    <s v="Travel_Rarely"/>
    <x v="0"/>
    <s v="Current Employees"/>
    <x v="2"/>
    <x v="1"/>
    <s v="STAFF-1794"/>
    <x v="1142"/>
    <x v="1"/>
    <x v="8"/>
    <x v="2"/>
    <s v="No"/>
    <s v="Y"/>
    <n v="4"/>
    <n v="-2"/>
    <n v="0"/>
    <x v="2"/>
    <n v="0"/>
    <m/>
    <n v="0"/>
    <n v="1"/>
    <n v="1239"/>
    <n v="8"/>
    <x v="0"/>
    <n v="1"/>
    <n v="3"/>
    <n v="89"/>
    <n v="3"/>
    <n v="2"/>
    <n v="2"/>
    <n v="4071"/>
    <n v="12832"/>
    <n v="2"/>
    <n v="13"/>
    <n v="3"/>
    <n v="3"/>
    <n v="80"/>
    <n v="0"/>
    <n v="19"/>
    <n v="2"/>
    <n v="10"/>
    <n v="0"/>
    <n v="4"/>
    <n v="7"/>
  </r>
  <r>
    <s v="No"/>
    <s v="Travel_Rarely"/>
    <x v="2"/>
    <s v="Current Employees"/>
    <x v="2"/>
    <x v="2"/>
    <s v="STAFF-1865"/>
    <x v="1143"/>
    <x v="1"/>
    <x v="8"/>
    <x v="1"/>
    <s v="No"/>
    <s v="Y"/>
    <n v="3"/>
    <n v="-2"/>
    <n v="0"/>
    <x v="11"/>
    <n v="0"/>
    <m/>
    <n v="0"/>
    <n v="1"/>
    <n v="352"/>
    <n v="6"/>
    <x v="1"/>
    <n v="1"/>
    <n v="4"/>
    <n v="87"/>
    <n v="2"/>
    <n v="1"/>
    <n v="2"/>
    <n v="2804"/>
    <n v="15434"/>
    <n v="1"/>
    <n v="11"/>
    <n v="3"/>
    <n v="4"/>
    <n v="80"/>
    <n v="0"/>
    <n v="1"/>
    <n v="3"/>
    <n v="1"/>
    <n v="0"/>
    <n v="0"/>
    <n v="0"/>
  </r>
  <r>
    <s v="No"/>
    <s v="Travel_Rarely"/>
    <x v="2"/>
    <s v="Current Employees"/>
    <x v="2"/>
    <x v="1"/>
    <s v="STAFF-1419"/>
    <x v="1144"/>
    <x v="1"/>
    <x v="8"/>
    <x v="0"/>
    <s v="No"/>
    <s v="Y"/>
    <n v="3"/>
    <n v="-2"/>
    <n v="0"/>
    <x v="11"/>
    <n v="0"/>
    <m/>
    <n v="0"/>
    <n v="1"/>
    <n v="332"/>
    <n v="17"/>
    <x v="3"/>
    <n v="1"/>
    <n v="2"/>
    <n v="51"/>
    <n v="2"/>
    <n v="3"/>
    <n v="3"/>
    <n v="7988"/>
    <n v="9769"/>
    <n v="1"/>
    <n v="13"/>
    <n v="3"/>
    <n v="1"/>
    <n v="80"/>
    <n v="0"/>
    <n v="10"/>
    <n v="2"/>
    <n v="10"/>
    <n v="9"/>
    <n v="0"/>
    <n v="9"/>
  </r>
  <r>
    <s v="No"/>
    <s v="Travel_Rarely"/>
    <x v="0"/>
    <s v="Current Employees"/>
    <x v="2"/>
    <x v="0"/>
    <s v="STAFF-1778"/>
    <x v="1145"/>
    <x v="1"/>
    <x v="8"/>
    <x v="0"/>
    <s v="No"/>
    <s v="Y"/>
    <n v="5"/>
    <n v="-2"/>
    <n v="0"/>
    <x v="23"/>
    <n v="0"/>
    <m/>
    <n v="0"/>
    <n v="1"/>
    <n v="244"/>
    <n v="2"/>
    <x v="3"/>
    <n v="1"/>
    <n v="2"/>
    <n v="97"/>
    <n v="3"/>
    <n v="1"/>
    <n v="4"/>
    <n v="3539"/>
    <n v="5033"/>
    <n v="0"/>
    <n v="13"/>
    <n v="3"/>
    <n v="2"/>
    <n v="80"/>
    <n v="0"/>
    <n v="10"/>
    <n v="3"/>
    <n v="9"/>
    <n v="7"/>
    <n v="1"/>
    <n v="8"/>
  </r>
  <r>
    <s v="No"/>
    <s v="Travel_Rarely"/>
    <x v="3"/>
    <s v="Current Employees"/>
    <x v="1"/>
    <x v="4"/>
    <s v="STAFF-1694"/>
    <x v="1146"/>
    <x v="1"/>
    <x v="1"/>
    <x v="2"/>
    <s v="No"/>
    <s v="Y"/>
    <n v="1"/>
    <n v="-2"/>
    <n v="0"/>
    <x v="27"/>
    <n v="0"/>
    <m/>
    <n v="0"/>
    <n v="1"/>
    <n v="1441"/>
    <n v="22"/>
    <x v="3"/>
    <n v="1"/>
    <n v="4"/>
    <n v="94"/>
    <n v="2"/>
    <n v="1"/>
    <n v="4"/>
    <n v="3537"/>
    <n v="23737"/>
    <n v="5"/>
    <n v="12"/>
    <n v="3"/>
    <n v="4"/>
    <n v="80"/>
    <n v="1"/>
    <n v="8"/>
    <n v="3"/>
    <n v="4"/>
    <n v="2"/>
    <n v="1"/>
    <n v="2"/>
  </r>
  <r>
    <s v="No"/>
    <s v="Travel_Rarely"/>
    <x v="2"/>
    <s v="Current Employees"/>
    <x v="1"/>
    <x v="0"/>
    <s v="STAFF-1506"/>
    <x v="1147"/>
    <x v="1"/>
    <x v="1"/>
    <x v="2"/>
    <s v="No"/>
    <s v="Y"/>
    <n v="2"/>
    <n v="-2"/>
    <n v="0"/>
    <x v="14"/>
    <n v="0"/>
    <m/>
    <n v="0"/>
    <n v="1"/>
    <n v="1423"/>
    <n v="1"/>
    <x v="3"/>
    <n v="1"/>
    <n v="1"/>
    <n v="72"/>
    <n v="2"/>
    <n v="1"/>
    <n v="3"/>
    <n v="1563"/>
    <n v="12530"/>
    <n v="1"/>
    <n v="14"/>
    <n v="3"/>
    <n v="4"/>
    <n v="80"/>
    <n v="1"/>
    <n v="1"/>
    <n v="1"/>
    <n v="1"/>
    <n v="0"/>
    <n v="0"/>
    <n v="0"/>
  </r>
  <r>
    <s v="No"/>
    <s v="Travel_Rarely"/>
    <x v="0"/>
    <s v="Current Employees"/>
    <x v="1"/>
    <x v="0"/>
    <s v="STAFF-1892"/>
    <x v="1148"/>
    <x v="1"/>
    <x v="5"/>
    <x v="2"/>
    <s v="No"/>
    <s v="Y"/>
    <n v="3"/>
    <n v="-2"/>
    <n v="0"/>
    <x v="32"/>
    <n v="0"/>
    <m/>
    <n v="0"/>
    <n v="1"/>
    <n v="1137"/>
    <n v="1"/>
    <x v="2"/>
    <n v="1"/>
    <n v="1"/>
    <n v="98"/>
    <n v="3"/>
    <n v="4"/>
    <n v="3"/>
    <n v="16823"/>
    <n v="18991"/>
    <n v="2"/>
    <n v="11"/>
    <n v="3"/>
    <n v="1"/>
    <n v="80"/>
    <n v="1"/>
    <n v="22"/>
    <n v="3"/>
    <n v="19"/>
    <n v="7"/>
    <n v="11"/>
    <n v="16"/>
  </r>
  <r>
    <s v="No"/>
    <s v="Travel_Rarely"/>
    <x v="2"/>
    <s v="Current Employees"/>
    <x v="1"/>
    <x v="0"/>
    <s v="STAFF-1881"/>
    <x v="1149"/>
    <x v="1"/>
    <x v="2"/>
    <x v="2"/>
    <s v="No"/>
    <s v="Y"/>
    <n v="2"/>
    <n v="-2"/>
    <n v="0"/>
    <x v="12"/>
    <n v="0"/>
    <m/>
    <n v="0"/>
    <n v="1"/>
    <n v="311"/>
    <n v="20"/>
    <x v="3"/>
    <n v="1"/>
    <n v="2"/>
    <n v="89"/>
    <n v="3"/>
    <n v="2"/>
    <n v="3"/>
    <n v="4197"/>
    <n v="18624"/>
    <n v="1"/>
    <n v="11"/>
    <n v="3"/>
    <n v="1"/>
    <n v="80"/>
    <n v="1"/>
    <n v="10"/>
    <n v="3"/>
    <n v="10"/>
    <n v="8"/>
    <n v="0"/>
    <n v="2"/>
  </r>
  <r>
    <s v="No"/>
    <s v="Travel_Rarely"/>
    <x v="0"/>
    <s v="Current Employees"/>
    <x v="1"/>
    <x v="2"/>
    <s v="STAFF-1627"/>
    <x v="1150"/>
    <x v="1"/>
    <x v="2"/>
    <x v="2"/>
    <s v="No"/>
    <s v="Y"/>
    <n v="3"/>
    <n v="-2"/>
    <n v="0"/>
    <x v="22"/>
    <n v="0"/>
    <m/>
    <n v="0"/>
    <n v="1"/>
    <n v="170"/>
    <n v="3"/>
    <x v="0"/>
    <n v="1"/>
    <n v="3"/>
    <n v="76"/>
    <n v="2"/>
    <n v="2"/>
    <n v="3"/>
    <n v="3069"/>
    <n v="10302"/>
    <n v="0"/>
    <n v="15"/>
    <n v="3"/>
    <n v="4"/>
    <n v="80"/>
    <n v="1"/>
    <n v="11"/>
    <n v="3"/>
    <n v="10"/>
    <n v="8"/>
    <n v="0"/>
    <n v="7"/>
  </r>
  <r>
    <s v="No"/>
    <s v="Travel_Rarely"/>
    <x v="0"/>
    <s v="Current Employees"/>
    <x v="1"/>
    <x v="2"/>
    <s v="STAFF-1474"/>
    <x v="1151"/>
    <x v="1"/>
    <x v="1"/>
    <x v="2"/>
    <s v="No"/>
    <s v="Y"/>
    <n v="3"/>
    <n v="-2"/>
    <n v="0"/>
    <x v="32"/>
    <n v="0"/>
    <m/>
    <n v="0"/>
    <n v="1"/>
    <n v="896"/>
    <n v="2"/>
    <x v="3"/>
    <n v="1"/>
    <n v="3"/>
    <n v="68"/>
    <n v="3"/>
    <n v="1"/>
    <n v="3"/>
    <n v="2345"/>
    <n v="8045"/>
    <n v="2"/>
    <n v="14"/>
    <n v="3"/>
    <n v="3"/>
    <n v="80"/>
    <n v="1"/>
    <n v="8"/>
    <n v="4"/>
    <n v="3"/>
    <n v="1"/>
    <n v="1"/>
    <n v="2"/>
  </r>
  <r>
    <s v="No"/>
    <s v="Travel_Rarely"/>
    <x v="1"/>
    <s v="Current Employees"/>
    <x v="1"/>
    <x v="0"/>
    <s v="STAFF-1857"/>
    <x v="1152"/>
    <x v="1"/>
    <x v="3"/>
    <x v="2"/>
    <s v="No"/>
    <s v="Y"/>
    <n v="4"/>
    <n v="-2"/>
    <n v="0"/>
    <x v="21"/>
    <n v="0"/>
    <m/>
    <n v="0"/>
    <n v="1"/>
    <n v="706"/>
    <n v="2"/>
    <x v="0"/>
    <n v="1"/>
    <n v="4"/>
    <n v="82"/>
    <n v="3"/>
    <n v="3"/>
    <n v="4"/>
    <n v="8578"/>
    <n v="19989"/>
    <n v="3"/>
    <n v="14"/>
    <n v="3"/>
    <n v="3"/>
    <n v="80"/>
    <n v="1"/>
    <n v="12"/>
    <n v="2"/>
    <n v="9"/>
    <n v="8"/>
    <n v="4"/>
    <n v="7"/>
  </r>
  <r>
    <s v="No"/>
    <s v="Travel_Rarely"/>
    <x v="0"/>
    <s v="Current Employees"/>
    <x v="1"/>
    <x v="4"/>
    <s v="STAFF-1599"/>
    <x v="1153"/>
    <x v="1"/>
    <x v="2"/>
    <x v="2"/>
    <s v="No"/>
    <s v="Y"/>
    <n v="0"/>
    <n v="-2"/>
    <n v="0"/>
    <x v="23"/>
    <n v="0"/>
    <m/>
    <n v="0"/>
    <n v="1"/>
    <n v="990"/>
    <n v="27"/>
    <x v="3"/>
    <n v="1"/>
    <n v="4"/>
    <n v="87"/>
    <n v="4"/>
    <n v="1"/>
    <n v="4"/>
    <n v="4876"/>
    <n v="5855"/>
    <n v="5"/>
    <n v="12"/>
    <n v="3"/>
    <n v="3"/>
    <n v="80"/>
    <n v="1"/>
    <n v="8"/>
    <n v="3"/>
    <n v="6"/>
    <n v="4"/>
    <n v="0"/>
    <n v="2"/>
  </r>
  <r>
    <s v="No"/>
    <s v="Travel_Rarely"/>
    <x v="0"/>
    <s v="Current Employees"/>
    <x v="1"/>
    <x v="0"/>
    <s v="STAFF-1940"/>
    <x v="1154"/>
    <x v="1"/>
    <x v="1"/>
    <x v="2"/>
    <s v="No"/>
    <s v="Y"/>
    <n v="0"/>
    <n v="-2"/>
    <n v="0"/>
    <x v="8"/>
    <n v="0"/>
    <m/>
    <n v="0"/>
    <n v="1"/>
    <n v="1206"/>
    <n v="9"/>
    <x v="0"/>
    <n v="1"/>
    <n v="2"/>
    <n v="71"/>
    <n v="3"/>
    <n v="1"/>
    <n v="4"/>
    <n v="4771"/>
    <n v="14293"/>
    <n v="2"/>
    <n v="19"/>
    <n v="3"/>
    <n v="4"/>
    <n v="80"/>
    <n v="2"/>
    <n v="10"/>
    <n v="4"/>
    <n v="5"/>
    <n v="2"/>
    <n v="0"/>
    <n v="3"/>
  </r>
  <r>
    <s v="No"/>
    <s v="Travel_Rarely"/>
    <x v="3"/>
    <s v="Current Employees"/>
    <x v="1"/>
    <x v="2"/>
    <s v="STAFF-1424"/>
    <x v="1155"/>
    <x v="1"/>
    <x v="7"/>
    <x v="2"/>
    <s v="No"/>
    <s v="Y"/>
    <n v="4"/>
    <n v="-2"/>
    <n v="0"/>
    <x v="27"/>
    <n v="0"/>
    <m/>
    <n v="0"/>
    <n v="1"/>
    <n v="1136"/>
    <n v="1"/>
    <x v="2"/>
    <n v="1"/>
    <n v="2"/>
    <n v="81"/>
    <n v="4"/>
    <n v="4"/>
    <n v="4"/>
    <n v="14732"/>
    <n v="12414"/>
    <n v="2"/>
    <n v="13"/>
    <n v="3"/>
    <n v="4"/>
    <n v="80"/>
    <n v="2"/>
    <n v="31"/>
    <n v="4"/>
    <n v="7"/>
    <n v="7"/>
    <n v="0"/>
    <n v="0"/>
  </r>
  <r>
    <s v="No"/>
    <s v="Travel_Rarely"/>
    <x v="1"/>
    <s v="Current Employees"/>
    <x v="1"/>
    <x v="0"/>
    <s v="STAFF-1484"/>
    <x v="1156"/>
    <x v="1"/>
    <x v="4"/>
    <x v="2"/>
    <s v="No"/>
    <s v="Y"/>
    <n v="3"/>
    <n v="-2"/>
    <n v="0"/>
    <x v="1"/>
    <n v="0"/>
    <m/>
    <n v="0"/>
    <n v="1"/>
    <n v="1490"/>
    <n v="7"/>
    <x v="2"/>
    <n v="1"/>
    <n v="3"/>
    <n v="35"/>
    <n v="3"/>
    <n v="3"/>
    <n v="2"/>
    <n v="10466"/>
    <n v="20948"/>
    <n v="3"/>
    <n v="14"/>
    <n v="3"/>
    <n v="2"/>
    <n v="80"/>
    <n v="2"/>
    <n v="29"/>
    <n v="3"/>
    <n v="8"/>
    <n v="7"/>
    <n v="0"/>
    <n v="7"/>
  </r>
  <r>
    <s v="No"/>
    <s v="Travel_Rarely"/>
    <x v="2"/>
    <s v="Current Employees"/>
    <x v="1"/>
    <x v="0"/>
    <s v="STAFF-1859"/>
    <x v="1157"/>
    <x v="1"/>
    <x v="4"/>
    <x v="2"/>
    <s v="No"/>
    <s v="Y"/>
    <n v="3"/>
    <n v="-2"/>
    <n v="0"/>
    <x v="11"/>
    <n v="0"/>
    <m/>
    <n v="0"/>
    <n v="1"/>
    <n v="726"/>
    <n v="29"/>
    <x v="1"/>
    <n v="1"/>
    <n v="4"/>
    <n v="93"/>
    <n v="1"/>
    <n v="2"/>
    <n v="3"/>
    <n v="6384"/>
    <n v="21143"/>
    <n v="8"/>
    <n v="17"/>
    <n v="3"/>
    <n v="4"/>
    <n v="80"/>
    <n v="2"/>
    <n v="11"/>
    <n v="3"/>
    <n v="7"/>
    <n v="0"/>
    <n v="1"/>
    <n v="6"/>
  </r>
  <r>
    <s v="No"/>
    <s v="Travel_Rarely"/>
    <x v="2"/>
    <s v="Current Employees"/>
    <x v="1"/>
    <x v="1"/>
    <s v="STAFF-1619"/>
    <x v="1158"/>
    <x v="1"/>
    <x v="2"/>
    <x v="2"/>
    <s v="No"/>
    <s v="Y"/>
    <n v="3"/>
    <n v="-2"/>
    <n v="0"/>
    <x v="4"/>
    <n v="0"/>
    <m/>
    <n v="0"/>
    <n v="1"/>
    <n v="1302"/>
    <n v="19"/>
    <x v="3"/>
    <n v="1"/>
    <n v="4"/>
    <n v="67"/>
    <n v="2"/>
    <n v="1"/>
    <n v="3"/>
    <n v="4066"/>
    <n v="16290"/>
    <n v="1"/>
    <n v="11"/>
    <n v="3"/>
    <n v="1"/>
    <n v="80"/>
    <n v="2"/>
    <n v="7"/>
    <n v="3"/>
    <n v="7"/>
    <n v="7"/>
    <n v="0"/>
    <n v="7"/>
  </r>
  <r>
    <s v="No"/>
    <s v="Travel_Rarely"/>
    <x v="2"/>
    <s v="Current Employees"/>
    <x v="1"/>
    <x v="2"/>
    <s v="STAFF-1671"/>
    <x v="1159"/>
    <x v="1"/>
    <x v="1"/>
    <x v="2"/>
    <s v="No"/>
    <s v="Y"/>
    <n v="4"/>
    <n v="-2"/>
    <n v="0"/>
    <x v="5"/>
    <n v="0"/>
    <m/>
    <n v="0"/>
    <n v="1"/>
    <n v="977"/>
    <n v="2"/>
    <x v="3"/>
    <n v="1"/>
    <n v="4"/>
    <n v="45"/>
    <n v="3"/>
    <n v="2"/>
    <n v="2"/>
    <n v="5470"/>
    <n v="25518"/>
    <n v="0"/>
    <n v="13"/>
    <n v="3"/>
    <n v="3"/>
    <n v="80"/>
    <n v="2"/>
    <n v="10"/>
    <n v="2"/>
    <n v="9"/>
    <n v="5"/>
    <n v="1"/>
    <n v="6"/>
  </r>
  <r>
    <s v="No"/>
    <s v="Travel_Rarely"/>
    <x v="1"/>
    <s v="Current Employees"/>
    <x v="1"/>
    <x v="4"/>
    <s v="STAFF-1553"/>
    <x v="1160"/>
    <x v="1"/>
    <x v="4"/>
    <x v="2"/>
    <s v="No"/>
    <s v="Y"/>
    <n v="4"/>
    <n v="-2"/>
    <n v="0"/>
    <x v="28"/>
    <n v="0"/>
    <m/>
    <n v="0"/>
    <n v="1"/>
    <n v="538"/>
    <n v="1"/>
    <x v="2"/>
    <n v="1"/>
    <n v="4"/>
    <n v="66"/>
    <n v="3"/>
    <n v="3"/>
    <n v="4"/>
    <n v="7441"/>
    <n v="20933"/>
    <n v="1"/>
    <n v="12"/>
    <n v="3"/>
    <n v="1"/>
    <n v="80"/>
    <n v="3"/>
    <n v="10"/>
    <n v="3"/>
    <n v="10"/>
    <n v="8"/>
    <n v="7"/>
    <n v="7"/>
  </r>
  <r>
    <s v="No"/>
    <s v="Travel_Rarely"/>
    <x v="4"/>
    <s v="Current Employees"/>
    <x v="1"/>
    <x v="2"/>
    <s v="STAFF-1725"/>
    <x v="1161"/>
    <x v="1"/>
    <x v="2"/>
    <x v="2"/>
    <s v="No"/>
    <s v="Y"/>
    <n v="2"/>
    <n v="-2"/>
    <n v="0"/>
    <x v="17"/>
    <n v="0"/>
    <m/>
    <n v="0"/>
    <n v="1"/>
    <n v="506"/>
    <n v="29"/>
    <x v="1"/>
    <n v="1"/>
    <n v="2"/>
    <n v="91"/>
    <n v="3"/>
    <n v="1"/>
    <n v="3"/>
    <n v="3907"/>
    <n v="3622"/>
    <n v="1"/>
    <n v="13"/>
    <n v="3"/>
    <n v="2"/>
    <n v="80"/>
    <n v="3"/>
    <n v="6"/>
    <n v="4"/>
    <n v="6"/>
    <n v="2"/>
    <n v="1"/>
    <n v="2"/>
  </r>
  <r>
    <s v="No"/>
    <s v="Travel_Rarely"/>
    <x v="4"/>
    <s v="Current Employees"/>
    <x v="1"/>
    <x v="4"/>
    <s v="STAFF-1551"/>
    <x v="1162"/>
    <x v="1"/>
    <x v="2"/>
    <x v="2"/>
    <s v="No"/>
    <s v="Y"/>
    <n v="3"/>
    <n v="-2"/>
    <n v="0"/>
    <x v="17"/>
    <n v="0"/>
    <m/>
    <n v="0"/>
    <n v="1"/>
    <n v="350"/>
    <n v="21"/>
    <x v="0"/>
    <n v="1"/>
    <n v="4"/>
    <n v="57"/>
    <n v="2"/>
    <n v="1"/>
    <n v="4"/>
    <n v="2296"/>
    <n v="10036"/>
    <n v="0"/>
    <n v="14"/>
    <n v="3"/>
    <n v="2"/>
    <n v="80"/>
    <n v="3"/>
    <n v="2"/>
    <n v="3"/>
    <n v="1"/>
    <n v="1"/>
    <n v="0"/>
    <n v="0"/>
  </r>
  <r>
    <s v="No"/>
    <s v="Travel_Rarely"/>
    <x v="0"/>
    <s v="Current Employees"/>
    <x v="1"/>
    <x v="1"/>
    <s v="STAFF-1871"/>
    <x v="1163"/>
    <x v="1"/>
    <x v="1"/>
    <x v="2"/>
    <s v="No"/>
    <s v="Y"/>
    <n v="2"/>
    <n v="-2"/>
    <n v="0"/>
    <x v="22"/>
    <n v="0"/>
    <m/>
    <n v="0"/>
    <n v="1"/>
    <n v="835"/>
    <n v="19"/>
    <x v="2"/>
    <n v="1"/>
    <n v="4"/>
    <n v="41"/>
    <n v="3"/>
    <n v="2"/>
    <n v="4"/>
    <n v="3902"/>
    <n v="5141"/>
    <n v="8"/>
    <n v="14"/>
    <n v="3"/>
    <n v="2"/>
    <n v="80"/>
    <n v="3"/>
    <n v="7"/>
    <n v="3"/>
    <n v="2"/>
    <n v="2"/>
    <n v="2"/>
    <n v="2"/>
  </r>
  <r>
    <s v="No"/>
    <s v="Travel_Rarely"/>
    <x v="0"/>
    <s v="Current Employees"/>
    <x v="1"/>
    <x v="0"/>
    <s v="STAFF-2031"/>
    <x v="1164"/>
    <x v="1"/>
    <x v="5"/>
    <x v="1"/>
    <s v="No"/>
    <s v="Y"/>
    <n v="2"/>
    <n v="-2"/>
    <n v="0"/>
    <x v="19"/>
    <n v="0"/>
    <m/>
    <n v="0"/>
    <n v="1"/>
    <n v="300"/>
    <n v="2"/>
    <x v="3"/>
    <n v="1"/>
    <n v="1"/>
    <n v="56"/>
    <n v="3"/>
    <n v="5"/>
    <n v="3"/>
    <n v="18880"/>
    <n v="17312"/>
    <n v="5"/>
    <n v="11"/>
    <n v="3"/>
    <n v="1"/>
    <n v="80"/>
    <n v="0"/>
    <n v="24"/>
    <n v="2"/>
    <n v="22"/>
    <n v="6"/>
    <n v="4"/>
    <n v="14"/>
  </r>
  <r>
    <s v="No"/>
    <s v="Travel_Rarely"/>
    <x v="0"/>
    <s v="Current Employees"/>
    <x v="1"/>
    <x v="2"/>
    <s v="STAFF-1543"/>
    <x v="1165"/>
    <x v="1"/>
    <x v="1"/>
    <x v="1"/>
    <s v="No"/>
    <s v="Y"/>
    <n v="2"/>
    <n v="-2"/>
    <n v="0"/>
    <x v="2"/>
    <n v="0"/>
    <m/>
    <n v="0"/>
    <n v="1"/>
    <n v="674"/>
    <n v="13"/>
    <x v="3"/>
    <n v="1"/>
    <n v="1"/>
    <n v="47"/>
    <n v="3"/>
    <n v="2"/>
    <n v="4"/>
    <n v="4285"/>
    <n v="3031"/>
    <n v="1"/>
    <n v="17"/>
    <n v="3"/>
    <n v="1"/>
    <n v="80"/>
    <n v="0"/>
    <n v="10"/>
    <n v="3"/>
    <n v="10"/>
    <n v="8"/>
    <n v="3"/>
    <n v="7"/>
  </r>
  <r>
    <s v="No"/>
    <s v="Travel_Rarely"/>
    <x v="2"/>
    <s v="Current Employees"/>
    <x v="1"/>
    <x v="0"/>
    <s v="STAFF-1434"/>
    <x v="1166"/>
    <x v="1"/>
    <x v="2"/>
    <x v="1"/>
    <s v="No"/>
    <s v="Y"/>
    <n v="3"/>
    <n v="-2"/>
    <n v="0"/>
    <x v="4"/>
    <n v="0"/>
    <m/>
    <n v="0"/>
    <n v="1"/>
    <n v="1377"/>
    <n v="11"/>
    <x v="1"/>
    <n v="1"/>
    <n v="2"/>
    <n v="91"/>
    <n v="3"/>
    <n v="1"/>
    <n v="3"/>
    <n v="2099"/>
    <n v="7679"/>
    <n v="0"/>
    <n v="14"/>
    <n v="3"/>
    <n v="2"/>
    <n v="80"/>
    <n v="0"/>
    <n v="6"/>
    <n v="4"/>
    <n v="5"/>
    <n v="0"/>
    <n v="1"/>
    <n v="4"/>
  </r>
  <r>
    <s v="No"/>
    <s v="Travel_Rarely"/>
    <x v="0"/>
    <s v="Current Employees"/>
    <x v="1"/>
    <x v="0"/>
    <s v="STAFF-1621"/>
    <x v="1167"/>
    <x v="1"/>
    <x v="1"/>
    <x v="1"/>
    <s v="No"/>
    <s v="Y"/>
    <n v="2"/>
    <n v="-2"/>
    <n v="0"/>
    <x v="10"/>
    <n v="0"/>
    <m/>
    <n v="0"/>
    <n v="1"/>
    <n v="819"/>
    <n v="18"/>
    <x v="4"/>
    <n v="1"/>
    <n v="2"/>
    <n v="48"/>
    <n v="4"/>
    <n v="2"/>
    <n v="3"/>
    <n v="5208"/>
    <n v="26312"/>
    <n v="1"/>
    <n v="11"/>
    <n v="3"/>
    <n v="4"/>
    <n v="80"/>
    <n v="0"/>
    <n v="16"/>
    <n v="3"/>
    <n v="16"/>
    <n v="15"/>
    <n v="1"/>
    <n v="10"/>
  </r>
  <r>
    <s v="No"/>
    <s v="Travel_Rarely"/>
    <x v="2"/>
    <s v="Current Employees"/>
    <x v="1"/>
    <x v="2"/>
    <s v="STAFF-2068"/>
    <x v="1168"/>
    <x v="1"/>
    <x v="2"/>
    <x v="1"/>
    <s v="No"/>
    <s v="Y"/>
    <n v="3"/>
    <n v="-2"/>
    <n v="0"/>
    <x v="13"/>
    <n v="0"/>
    <m/>
    <n v="0"/>
    <n v="1"/>
    <n v="628"/>
    <n v="8"/>
    <x v="3"/>
    <n v="1"/>
    <n v="2"/>
    <n v="82"/>
    <n v="4"/>
    <n v="2"/>
    <n v="3"/>
    <n v="4404"/>
    <n v="10228"/>
    <n v="2"/>
    <n v="12"/>
    <n v="3"/>
    <n v="1"/>
    <n v="80"/>
    <n v="0"/>
    <n v="6"/>
    <n v="4"/>
    <n v="4"/>
    <n v="3"/>
    <n v="1"/>
    <n v="2"/>
  </r>
  <r>
    <s v="No"/>
    <s v="Travel_Rarely"/>
    <x v="1"/>
    <s v="Current Employees"/>
    <x v="1"/>
    <x v="2"/>
    <s v="STAFF-1689"/>
    <x v="1169"/>
    <x v="1"/>
    <x v="4"/>
    <x v="1"/>
    <s v="No"/>
    <s v="Y"/>
    <n v="2"/>
    <n v="-2"/>
    <n v="0"/>
    <x v="16"/>
    <n v="0"/>
    <m/>
    <n v="0"/>
    <n v="1"/>
    <n v="1395"/>
    <n v="24"/>
    <x v="2"/>
    <n v="1"/>
    <n v="2"/>
    <n v="48"/>
    <n v="4"/>
    <n v="3"/>
    <n v="4"/>
    <n v="7005"/>
    <n v="3458"/>
    <n v="3"/>
    <n v="15"/>
    <n v="3"/>
    <n v="3"/>
    <n v="80"/>
    <n v="0"/>
    <n v="11"/>
    <n v="3"/>
    <n v="4"/>
    <n v="3"/>
    <n v="1"/>
    <n v="2"/>
  </r>
  <r>
    <s v="No"/>
    <s v="Travel_Rarely"/>
    <x v="1"/>
    <s v="Current Employees"/>
    <x v="1"/>
    <x v="0"/>
    <s v="STAFF-1867"/>
    <x v="1170"/>
    <x v="1"/>
    <x v="7"/>
    <x v="1"/>
    <s v="No"/>
    <s v="Y"/>
    <n v="3"/>
    <n v="-2"/>
    <n v="0"/>
    <x v="26"/>
    <n v="0"/>
    <m/>
    <n v="0"/>
    <n v="1"/>
    <n v="1224"/>
    <n v="10"/>
    <x v="3"/>
    <n v="1"/>
    <n v="4"/>
    <n v="91"/>
    <n v="2"/>
    <n v="5"/>
    <n v="2"/>
    <n v="19665"/>
    <n v="13583"/>
    <n v="4"/>
    <n v="12"/>
    <n v="3"/>
    <n v="4"/>
    <n v="80"/>
    <n v="0"/>
    <n v="29"/>
    <n v="3"/>
    <n v="22"/>
    <n v="10"/>
    <n v="12"/>
    <n v="9"/>
  </r>
  <r>
    <s v="No"/>
    <s v="Travel_Rarely"/>
    <x v="2"/>
    <s v="Current Employees"/>
    <x v="1"/>
    <x v="2"/>
    <s v="STAFF-1989"/>
    <x v="1171"/>
    <x v="1"/>
    <x v="2"/>
    <x v="1"/>
    <s v="No"/>
    <s v="Y"/>
    <n v="6"/>
    <n v="-2"/>
    <n v="0"/>
    <x v="7"/>
    <n v="0"/>
    <m/>
    <n v="0"/>
    <n v="1"/>
    <n v="911"/>
    <n v="1"/>
    <x v="0"/>
    <n v="1"/>
    <n v="4"/>
    <n v="76"/>
    <n v="3"/>
    <n v="1"/>
    <n v="2"/>
    <n v="3748"/>
    <n v="4077"/>
    <n v="1"/>
    <n v="13"/>
    <n v="3"/>
    <n v="3"/>
    <n v="80"/>
    <n v="0"/>
    <n v="12"/>
    <n v="2"/>
    <n v="12"/>
    <n v="8"/>
    <n v="1"/>
    <n v="7"/>
  </r>
  <r>
    <s v="No"/>
    <s v="Travel_Rarely"/>
    <x v="2"/>
    <s v="Current Employees"/>
    <x v="1"/>
    <x v="0"/>
    <s v="STAFF-1954"/>
    <x v="1172"/>
    <x v="1"/>
    <x v="4"/>
    <x v="1"/>
    <s v="No"/>
    <s v="Y"/>
    <n v="5"/>
    <n v="-2"/>
    <n v="0"/>
    <x v="11"/>
    <n v="0"/>
    <m/>
    <n v="0"/>
    <n v="1"/>
    <n v="136"/>
    <n v="1"/>
    <x v="3"/>
    <n v="1"/>
    <n v="1"/>
    <n v="89"/>
    <n v="3"/>
    <n v="2"/>
    <n v="3"/>
    <n v="5373"/>
    <n v="6225"/>
    <n v="0"/>
    <n v="12"/>
    <n v="3"/>
    <n v="1"/>
    <n v="80"/>
    <n v="1"/>
    <n v="6"/>
    <n v="2"/>
    <n v="5"/>
    <n v="3"/>
    <n v="0"/>
    <n v="2"/>
  </r>
  <r>
    <s v="No"/>
    <s v="Travel_Rarely"/>
    <x v="1"/>
    <s v="Current Employees"/>
    <x v="1"/>
    <x v="4"/>
    <s v="STAFF-1473"/>
    <x v="1173"/>
    <x v="1"/>
    <x v="4"/>
    <x v="1"/>
    <s v="No"/>
    <s v="Y"/>
    <n v="0"/>
    <n v="-2"/>
    <n v="0"/>
    <x v="1"/>
    <n v="0"/>
    <m/>
    <n v="0"/>
    <n v="1"/>
    <n v="1495"/>
    <n v="5"/>
    <x v="2"/>
    <n v="1"/>
    <n v="4"/>
    <n v="96"/>
    <n v="3"/>
    <n v="2"/>
    <n v="4"/>
    <n v="6651"/>
    <n v="21534"/>
    <n v="2"/>
    <n v="14"/>
    <n v="3"/>
    <n v="2"/>
    <n v="80"/>
    <n v="1"/>
    <n v="20"/>
    <n v="2"/>
    <n v="3"/>
    <n v="2"/>
    <n v="1"/>
    <n v="2"/>
  </r>
  <r>
    <s v="No"/>
    <s v="Travel_Rarely"/>
    <x v="0"/>
    <s v="Current Employees"/>
    <x v="1"/>
    <x v="0"/>
    <s v="STAFF-1971"/>
    <x v="1174"/>
    <x v="1"/>
    <x v="4"/>
    <x v="1"/>
    <s v="No"/>
    <s v="Y"/>
    <n v="1"/>
    <n v="-2"/>
    <n v="0"/>
    <x v="23"/>
    <n v="0"/>
    <m/>
    <n v="0"/>
    <n v="1"/>
    <n v="574"/>
    <n v="11"/>
    <x v="3"/>
    <n v="1"/>
    <n v="1"/>
    <n v="30"/>
    <n v="3"/>
    <n v="3"/>
    <n v="3"/>
    <n v="7510"/>
    <n v="16873"/>
    <n v="1"/>
    <n v="17"/>
    <n v="3"/>
    <n v="2"/>
    <n v="80"/>
    <n v="1"/>
    <n v="10"/>
    <n v="3"/>
    <n v="10"/>
    <n v="9"/>
    <n v="0"/>
    <n v="9"/>
  </r>
  <r>
    <s v="No"/>
    <s v="Travel_Rarely"/>
    <x v="2"/>
    <s v="Current Employees"/>
    <x v="1"/>
    <x v="4"/>
    <s v="STAFF-1415"/>
    <x v="1175"/>
    <x v="1"/>
    <x v="2"/>
    <x v="1"/>
    <s v="No"/>
    <s v="Y"/>
    <n v="2"/>
    <n v="-2"/>
    <n v="0"/>
    <x v="36"/>
    <n v="0"/>
    <m/>
    <n v="0"/>
    <n v="1"/>
    <n v="949"/>
    <n v="1"/>
    <x v="3"/>
    <n v="1"/>
    <n v="4"/>
    <n v="81"/>
    <n v="3"/>
    <n v="1"/>
    <n v="4"/>
    <n v="3229"/>
    <n v="4910"/>
    <n v="4"/>
    <n v="11"/>
    <n v="3"/>
    <n v="2"/>
    <n v="80"/>
    <n v="1"/>
    <n v="7"/>
    <n v="2"/>
    <n v="3"/>
    <n v="2"/>
    <n v="0"/>
    <n v="2"/>
  </r>
  <r>
    <s v="No"/>
    <s v="Travel_Rarely"/>
    <x v="1"/>
    <s v="Current Employees"/>
    <x v="1"/>
    <x v="4"/>
    <s v="STAFF-1438"/>
    <x v="1176"/>
    <x v="1"/>
    <x v="1"/>
    <x v="1"/>
    <s v="No"/>
    <s v="Y"/>
    <n v="2"/>
    <n v="-2"/>
    <n v="0"/>
    <x v="40"/>
    <n v="0"/>
    <m/>
    <n v="0"/>
    <n v="1"/>
    <n v="465"/>
    <n v="1"/>
    <x v="3"/>
    <n v="1"/>
    <n v="4"/>
    <n v="74"/>
    <n v="3"/>
    <n v="1"/>
    <n v="4"/>
    <n v="3420"/>
    <n v="10205"/>
    <n v="7"/>
    <n v="12"/>
    <n v="3"/>
    <n v="3"/>
    <n v="80"/>
    <n v="1"/>
    <n v="17"/>
    <n v="2"/>
    <n v="6"/>
    <n v="5"/>
    <n v="1"/>
    <n v="2"/>
  </r>
  <r>
    <s v="No"/>
    <s v="Travel_Rarely"/>
    <x v="0"/>
    <s v="Current Employees"/>
    <x v="1"/>
    <x v="2"/>
    <s v="STAFF-1826"/>
    <x v="1177"/>
    <x v="1"/>
    <x v="2"/>
    <x v="1"/>
    <s v="No"/>
    <s v="Y"/>
    <n v="2"/>
    <n v="-2"/>
    <n v="0"/>
    <x v="10"/>
    <n v="0"/>
    <m/>
    <n v="0"/>
    <n v="1"/>
    <n v="185"/>
    <n v="23"/>
    <x v="2"/>
    <n v="1"/>
    <n v="2"/>
    <n v="91"/>
    <n v="1"/>
    <n v="1"/>
    <n v="3"/>
    <n v="2705"/>
    <n v="9696"/>
    <n v="0"/>
    <n v="16"/>
    <n v="3"/>
    <n v="2"/>
    <n v="80"/>
    <n v="1"/>
    <n v="6"/>
    <n v="4"/>
    <n v="5"/>
    <n v="4"/>
    <n v="0"/>
    <n v="3"/>
  </r>
  <r>
    <s v="No"/>
    <s v="Travel_Rarely"/>
    <x v="2"/>
    <s v="Current Employees"/>
    <x v="1"/>
    <x v="2"/>
    <s v="STAFF-1609"/>
    <x v="1178"/>
    <x v="1"/>
    <x v="1"/>
    <x v="1"/>
    <s v="No"/>
    <s v="Y"/>
    <n v="3"/>
    <n v="-2"/>
    <n v="0"/>
    <x v="7"/>
    <n v="0"/>
    <m/>
    <n v="0"/>
    <n v="1"/>
    <n v="241"/>
    <n v="7"/>
    <x v="3"/>
    <n v="1"/>
    <n v="2"/>
    <n v="48"/>
    <n v="2"/>
    <n v="1"/>
    <n v="2"/>
    <n v="2141"/>
    <n v="5348"/>
    <n v="1"/>
    <n v="12"/>
    <n v="3"/>
    <n v="2"/>
    <n v="80"/>
    <n v="1"/>
    <n v="6"/>
    <n v="2"/>
    <n v="6"/>
    <n v="4"/>
    <n v="1"/>
    <n v="1"/>
  </r>
  <r>
    <s v="No"/>
    <s v="Travel_Rarely"/>
    <x v="2"/>
    <s v="Current Employees"/>
    <x v="1"/>
    <x v="2"/>
    <s v="STAFF-1696"/>
    <x v="1179"/>
    <x v="1"/>
    <x v="2"/>
    <x v="1"/>
    <s v="No"/>
    <s v="Y"/>
    <n v="3"/>
    <n v="-2"/>
    <n v="0"/>
    <x v="13"/>
    <n v="0"/>
    <m/>
    <n v="0"/>
    <n v="1"/>
    <n v="1157"/>
    <n v="5"/>
    <x v="0"/>
    <n v="1"/>
    <n v="2"/>
    <n v="57"/>
    <n v="2"/>
    <n v="2"/>
    <n v="4"/>
    <n v="3986"/>
    <n v="11912"/>
    <n v="1"/>
    <n v="14"/>
    <n v="3"/>
    <n v="3"/>
    <n v="80"/>
    <n v="1"/>
    <n v="15"/>
    <n v="4"/>
    <n v="15"/>
    <n v="10"/>
    <n v="4"/>
    <n v="13"/>
  </r>
  <r>
    <s v="No"/>
    <s v="Travel_Rarely"/>
    <x v="2"/>
    <s v="Current Employees"/>
    <x v="1"/>
    <x v="4"/>
    <s v="STAFF-1931"/>
    <x v="1180"/>
    <x v="1"/>
    <x v="1"/>
    <x v="1"/>
    <s v="No"/>
    <s v="Y"/>
    <n v="3"/>
    <n v="-2"/>
    <n v="0"/>
    <x v="4"/>
    <n v="0"/>
    <m/>
    <n v="0"/>
    <n v="1"/>
    <n v="1354"/>
    <n v="2"/>
    <x v="2"/>
    <n v="1"/>
    <n v="4"/>
    <n v="41"/>
    <n v="3"/>
    <n v="1"/>
    <n v="4"/>
    <n v="2226"/>
    <n v="6073"/>
    <n v="1"/>
    <n v="11"/>
    <n v="3"/>
    <n v="3"/>
    <n v="80"/>
    <n v="1"/>
    <n v="6"/>
    <n v="2"/>
    <n v="5"/>
    <n v="3"/>
    <n v="1"/>
    <n v="2"/>
  </r>
  <r>
    <s v="No"/>
    <s v="Travel_Rarely"/>
    <x v="2"/>
    <s v="Current Employees"/>
    <x v="1"/>
    <x v="0"/>
    <s v="STAFF-1721"/>
    <x v="1181"/>
    <x v="1"/>
    <x v="2"/>
    <x v="1"/>
    <s v="No"/>
    <s v="Y"/>
    <n v="2"/>
    <n v="-2"/>
    <n v="0"/>
    <x v="12"/>
    <n v="0"/>
    <m/>
    <n v="0"/>
    <n v="1"/>
    <n v="741"/>
    <n v="2"/>
    <x v="2"/>
    <n v="1"/>
    <n v="2"/>
    <n v="69"/>
    <n v="3"/>
    <n v="1"/>
    <n v="3"/>
    <n v="3477"/>
    <n v="18103"/>
    <n v="1"/>
    <n v="14"/>
    <n v="3"/>
    <n v="4"/>
    <n v="80"/>
    <n v="1"/>
    <n v="6"/>
    <n v="4"/>
    <n v="5"/>
    <n v="2"/>
    <n v="0"/>
    <n v="3"/>
  </r>
  <r>
    <s v="No"/>
    <s v="Travel_Rarely"/>
    <x v="2"/>
    <s v="Current Employees"/>
    <x v="1"/>
    <x v="0"/>
    <s v="STAFF-1729"/>
    <x v="1182"/>
    <x v="1"/>
    <x v="1"/>
    <x v="1"/>
    <s v="No"/>
    <s v="Y"/>
    <n v="2"/>
    <n v="-2"/>
    <n v="0"/>
    <x v="7"/>
    <n v="0"/>
    <m/>
    <n v="0"/>
    <n v="1"/>
    <n v="793"/>
    <n v="16"/>
    <x v="1"/>
    <n v="1"/>
    <n v="2"/>
    <n v="33"/>
    <n v="3"/>
    <n v="1"/>
    <n v="4"/>
    <n v="2862"/>
    <n v="3811"/>
    <n v="1"/>
    <n v="12"/>
    <n v="3"/>
    <n v="2"/>
    <n v="80"/>
    <n v="1"/>
    <n v="10"/>
    <n v="2"/>
    <n v="10"/>
    <n v="0"/>
    <n v="0"/>
    <n v="8"/>
  </r>
  <r>
    <s v="No"/>
    <s v="Travel_Rarely"/>
    <x v="2"/>
    <s v="Current Employees"/>
    <x v="1"/>
    <x v="0"/>
    <s v="STAFF-1580"/>
    <x v="1183"/>
    <x v="1"/>
    <x v="1"/>
    <x v="1"/>
    <s v="No"/>
    <s v="Y"/>
    <n v="3"/>
    <n v="-2"/>
    <n v="0"/>
    <x v="13"/>
    <n v="0"/>
    <m/>
    <n v="0"/>
    <n v="1"/>
    <n v="1351"/>
    <n v="1"/>
    <x v="2"/>
    <n v="1"/>
    <n v="2"/>
    <n v="45"/>
    <n v="3"/>
    <n v="2"/>
    <n v="4"/>
    <n v="5484"/>
    <n v="13008"/>
    <n v="9"/>
    <n v="17"/>
    <n v="3"/>
    <n v="2"/>
    <n v="80"/>
    <n v="1"/>
    <n v="9"/>
    <n v="2"/>
    <n v="2"/>
    <n v="2"/>
    <n v="2"/>
    <n v="1"/>
  </r>
  <r>
    <s v="No"/>
    <s v="Travel_Rarely"/>
    <x v="0"/>
    <s v="Current Employees"/>
    <x v="1"/>
    <x v="0"/>
    <s v="STAFF-1903"/>
    <x v="1184"/>
    <x v="1"/>
    <x v="4"/>
    <x v="1"/>
    <s v="No"/>
    <s v="Y"/>
    <n v="5"/>
    <n v="-2"/>
    <n v="0"/>
    <x v="20"/>
    <n v="0"/>
    <m/>
    <n v="0"/>
    <n v="1"/>
    <n v="170"/>
    <n v="1"/>
    <x v="2"/>
    <n v="1"/>
    <n v="2"/>
    <n v="78"/>
    <n v="4"/>
    <n v="2"/>
    <n v="3"/>
    <n v="5033"/>
    <n v="9364"/>
    <n v="2"/>
    <n v="15"/>
    <n v="3"/>
    <n v="4"/>
    <n v="80"/>
    <n v="1"/>
    <n v="10"/>
    <n v="3"/>
    <n v="2"/>
    <n v="0"/>
    <n v="2"/>
    <n v="2"/>
  </r>
  <r>
    <s v="No"/>
    <s v="Travel_Rarely"/>
    <x v="0"/>
    <s v="Current Employees"/>
    <x v="1"/>
    <x v="2"/>
    <s v="STAFF-1542"/>
    <x v="1185"/>
    <x v="1"/>
    <x v="2"/>
    <x v="1"/>
    <s v="No"/>
    <s v="Y"/>
    <n v="3"/>
    <n v="-2"/>
    <n v="0"/>
    <x v="19"/>
    <n v="0"/>
    <m/>
    <n v="0"/>
    <n v="1"/>
    <n v="1210"/>
    <n v="2"/>
    <x v="3"/>
    <n v="1"/>
    <n v="3"/>
    <n v="68"/>
    <n v="2"/>
    <n v="1"/>
    <n v="2"/>
    <n v="4841"/>
    <n v="24052"/>
    <n v="4"/>
    <n v="14"/>
    <n v="3"/>
    <n v="2"/>
    <n v="80"/>
    <n v="1"/>
    <n v="4"/>
    <n v="3"/>
    <n v="1"/>
    <n v="0"/>
    <n v="0"/>
    <n v="0"/>
  </r>
  <r>
    <s v="No"/>
    <s v="Travel_Rarely"/>
    <x v="0"/>
    <s v="Current Employees"/>
    <x v="1"/>
    <x v="0"/>
    <s v="STAFF-1601"/>
    <x v="1186"/>
    <x v="1"/>
    <x v="2"/>
    <x v="1"/>
    <s v="No"/>
    <s v="Y"/>
    <n v="5"/>
    <n v="-2"/>
    <n v="0"/>
    <x v="10"/>
    <n v="0"/>
    <m/>
    <n v="0"/>
    <n v="1"/>
    <n v="1349"/>
    <n v="7"/>
    <x v="0"/>
    <n v="1"/>
    <n v="3"/>
    <n v="63"/>
    <n v="2"/>
    <n v="1"/>
    <n v="4"/>
    <n v="2690"/>
    <n v="7713"/>
    <n v="1"/>
    <n v="18"/>
    <n v="3"/>
    <n v="4"/>
    <n v="80"/>
    <n v="1"/>
    <n v="1"/>
    <n v="2"/>
    <n v="1"/>
    <n v="0"/>
    <n v="0"/>
    <n v="1"/>
  </r>
  <r>
    <s v="No"/>
    <s v="Travel_Rarely"/>
    <x v="0"/>
    <s v="Current Employees"/>
    <x v="1"/>
    <x v="2"/>
    <s v="STAFF-1911"/>
    <x v="1187"/>
    <x v="1"/>
    <x v="7"/>
    <x v="1"/>
    <s v="No"/>
    <s v="Y"/>
    <n v="3"/>
    <n v="-2"/>
    <n v="0"/>
    <x v="19"/>
    <n v="0"/>
    <m/>
    <n v="0"/>
    <n v="1"/>
    <n v="1396"/>
    <n v="6"/>
    <x v="3"/>
    <n v="1"/>
    <n v="3"/>
    <n v="83"/>
    <n v="3"/>
    <n v="3"/>
    <n v="3"/>
    <n v="13348"/>
    <n v="14842"/>
    <n v="9"/>
    <n v="13"/>
    <n v="3"/>
    <n v="2"/>
    <n v="80"/>
    <n v="1"/>
    <n v="18"/>
    <n v="4"/>
    <n v="13"/>
    <n v="7"/>
    <n v="5"/>
    <n v="7"/>
  </r>
  <r>
    <s v="No"/>
    <s v="Travel_Rarely"/>
    <x v="2"/>
    <s v="Current Employees"/>
    <x v="1"/>
    <x v="0"/>
    <s v="STAFF-1799"/>
    <x v="1188"/>
    <x v="1"/>
    <x v="1"/>
    <x v="1"/>
    <s v="No"/>
    <s v="Y"/>
    <n v="6"/>
    <n v="-2"/>
    <n v="0"/>
    <x v="14"/>
    <n v="0"/>
    <m/>
    <n v="0"/>
    <n v="1"/>
    <n v="1181"/>
    <n v="1"/>
    <x v="3"/>
    <n v="1"/>
    <n v="3"/>
    <n v="82"/>
    <n v="3"/>
    <n v="1"/>
    <n v="4"/>
    <n v="2044"/>
    <n v="5531"/>
    <n v="1"/>
    <n v="11"/>
    <n v="3"/>
    <n v="3"/>
    <n v="80"/>
    <n v="1"/>
    <n v="5"/>
    <n v="4"/>
    <n v="5"/>
    <n v="3"/>
    <n v="0"/>
    <n v="3"/>
  </r>
  <r>
    <s v="No"/>
    <s v="Travel_Rarely"/>
    <x v="2"/>
    <s v="Current Employees"/>
    <x v="1"/>
    <x v="0"/>
    <s v="STAFF-1763"/>
    <x v="1189"/>
    <x v="1"/>
    <x v="4"/>
    <x v="1"/>
    <s v="No"/>
    <s v="Y"/>
    <n v="3"/>
    <n v="-2"/>
    <n v="0"/>
    <x v="7"/>
    <n v="0"/>
    <m/>
    <n v="0"/>
    <n v="1"/>
    <n v="305"/>
    <n v="16"/>
    <x v="3"/>
    <n v="1"/>
    <n v="3"/>
    <n v="58"/>
    <n v="4"/>
    <n v="2"/>
    <n v="3"/>
    <n v="5294"/>
    <n v="9128"/>
    <n v="3"/>
    <n v="16"/>
    <n v="3"/>
    <n v="3"/>
    <n v="80"/>
    <n v="1"/>
    <n v="10"/>
    <n v="3"/>
    <n v="7"/>
    <n v="0"/>
    <n v="1"/>
    <n v="7"/>
  </r>
  <r>
    <s v="No"/>
    <s v="Travel_Rarely"/>
    <x v="4"/>
    <s v="Current Employees"/>
    <x v="1"/>
    <x v="2"/>
    <s v="STAFF-1707"/>
    <x v="1190"/>
    <x v="1"/>
    <x v="1"/>
    <x v="1"/>
    <s v="No"/>
    <s v="Y"/>
    <n v="1"/>
    <n v="-2"/>
    <n v="0"/>
    <x v="17"/>
    <n v="0"/>
    <m/>
    <n v="0"/>
    <n v="1"/>
    <n v="581"/>
    <n v="9"/>
    <x v="3"/>
    <n v="1"/>
    <n v="3"/>
    <n v="62"/>
    <n v="4"/>
    <n v="1"/>
    <n v="3"/>
    <n v="4401"/>
    <n v="17616"/>
    <n v="1"/>
    <n v="16"/>
    <n v="3"/>
    <n v="4"/>
    <n v="80"/>
    <n v="1"/>
    <n v="5"/>
    <n v="3"/>
    <n v="5"/>
    <n v="3"/>
    <n v="0"/>
    <n v="4"/>
  </r>
  <r>
    <s v="No"/>
    <s v="Travel_Rarely"/>
    <x v="0"/>
    <s v="Current Employees"/>
    <x v="1"/>
    <x v="2"/>
    <s v="STAFF-2062"/>
    <x v="1191"/>
    <x v="1"/>
    <x v="4"/>
    <x v="1"/>
    <s v="No"/>
    <s v="Y"/>
    <n v="5"/>
    <n v="-2"/>
    <n v="0"/>
    <x v="22"/>
    <n v="0"/>
    <m/>
    <n v="0"/>
    <n v="1"/>
    <n v="613"/>
    <n v="6"/>
    <x v="1"/>
    <n v="1"/>
    <n v="4"/>
    <n v="42"/>
    <n v="2"/>
    <n v="3"/>
    <n v="3"/>
    <n v="9991"/>
    <n v="21457"/>
    <n v="4"/>
    <n v="15"/>
    <n v="3"/>
    <n v="1"/>
    <n v="80"/>
    <n v="1"/>
    <n v="9"/>
    <n v="3"/>
    <n v="7"/>
    <n v="7"/>
    <n v="1"/>
    <n v="7"/>
  </r>
  <r>
    <s v="No"/>
    <s v="Travel_Rarely"/>
    <x v="0"/>
    <s v="Current Employees"/>
    <x v="1"/>
    <x v="0"/>
    <s v="STAFF-1523"/>
    <x v="1192"/>
    <x v="1"/>
    <x v="7"/>
    <x v="1"/>
    <s v="No"/>
    <s v="Y"/>
    <n v="1"/>
    <n v="-2"/>
    <n v="0"/>
    <x v="20"/>
    <n v="0"/>
    <m/>
    <n v="0"/>
    <n v="1"/>
    <n v="136"/>
    <n v="28"/>
    <x v="3"/>
    <n v="1"/>
    <n v="4"/>
    <n v="32"/>
    <n v="3"/>
    <n v="4"/>
    <n v="3"/>
    <n v="16328"/>
    <n v="22074"/>
    <n v="3"/>
    <n v="13"/>
    <n v="3"/>
    <n v="3"/>
    <n v="80"/>
    <n v="1"/>
    <n v="24"/>
    <n v="4"/>
    <n v="20"/>
    <n v="6"/>
    <n v="14"/>
    <n v="17"/>
  </r>
  <r>
    <s v="No"/>
    <s v="Travel_Rarely"/>
    <x v="0"/>
    <s v="Current Employees"/>
    <x v="1"/>
    <x v="0"/>
    <s v="STAFF-1728"/>
    <x v="1193"/>
    <x v="1"/>
    <x v="3"/>
    <x v="1"/>
    <s v="No"/>
    <s v="Y"/>
    <n v="3"/>
    <n v="-2"/>
    <n v="0"/>
    <x v="10"/>
    <n v="0"/>
    <m/>
    <n v="0"/>
    <n v="1"/>
    <n v="1370"/>
    <n v="27"/>
    <x v="2"/>
    <n v="1"/>
    <n v="4"/>
    <n v="49"/>
    <n v="3"/>
    <n v="2"/>
    <n v="3"/>
    <n v="6883"/>
    <n v="5151"/>
    <n v="2"/>
    <n v="16"/>
    <n v="3"/>
    <n v="2"/>
    <n v="80"/>
    <n v="1"/>
    <n v="17"/>
    <n v="3"/>
    <n v="7"/>
    <n v="7"/>
    <n v="0"/>
    <n v="7"/>
  </r>
  <r>
    <s v="No"/>
    <s v="Travel_Rarely"/>
    <x v="2"/>
    <s v="Current Employees"/>
    <x v="1"/>
    <x v="0"/>
    <s v="STAFF-1798"/>
    <x v="1194"/>
    <x v="1"/>
    <x v="1"/>
    <x v="1"/>
    <s v="No"/>
    <s v="Y"/>
    <n v="1"/>
    <n v="-2"/>
    <n v="0"/>
    <x v="3"/>
    <n v="0"/>
    <m/>
    <n v="0"/>
    <n v="1"/>
    <n v="867"/>
    <n v="8"/>
    <x v="2"/>
    <n v="1"/>
    <n v="4"/>
    <n v="90"/>
    <n v="4"/>
    <n v="1"/>
    <n v="3"/>
    <n v="3143"/>
    <n v="6076"/>
    <n v="6"/>
    <n v="19"/>
    <n v="3"/>
    <n v="2"/>
    <n v="80"/>
    <n v="1"/>
    <n v="14"/>
    <n v="3"/>
    <n v="10"/>
    <n v="8"/>
    <n v="7"/>
    <n v="6"/>
  </r>
  <r>
    <s v="No"/>
    <s v="Travel_Rarely"/>
    <x v="4"/>
    <s v="Current Employees"/>
    <x v="1"/>
    <x v="4"/>
    <s v="STAFF-1592"/>
    <x v="1195"/>
    <x v="1"/>
    <x v="1"/>
    <x v="1"/>
    <s v="No"/>
    <s v="Y"/>
    <n v="2"/>
    <n v="-2"/>
    <n v="0"/>
    <x v="30"/>
    <n v="0"/>
    <m/>
    <n v="0"/>
    <n v="1"/>
    <n v="977"/>
    <n v="10"/>
    <x v="3"/>
    <n v="1"/>
    <n v="4"/>
    <n v="45"/>
    <n v="4"/>
    <n v="1"/>
    <n v="4"/>
    <n v="2073"/>
    <n v="12826"/>
    <n v="2"/>
    <n v="16"/>
    <n v="3"/>
    <n v="4"/>
    <n v="80"/>
    <n v="1"/>
    <n v="4"/>
    <n v="3"/>
    <n v="2"/>
    <n v="2"/>
    <n v="2"/>
    <n v="2"/>
  </r>
  <r>
    <s v="No"/>
    <s v="Travel_Rarely"/>
    <x v="0"/>
    <s v="Current Employees"/>
    <x v="1"/>
    <x v="0"/>
    <s v="STAFF-1682"/>
    <x v="1196"/>
    <x v="1"/>
    <x v="4"/>
    <x v="1"/>
    <s v="No"/>
    <s v="Y"/>
    <n v="2"/>
    <n v="-2"/>
    <n v="0"/>
    <x v="9"/>
    <n v="0"/>
    <m/>
    <n v="0"/>
    <n v="1"/>
    <n v="1351"/>
    <n v="26"/>
    <x v="2"/>
    <n v="1"/>
    <n v="1"/>
    <n v="80"/>
    <n v="3"/>
    <n v="2"/>
    <n v="3"/>
    <n v="5347"/>
    <n v="7419"/>
    <n v="6"/>
    <n v="14"/>
    <n v="3"/>
    <n v="2"/>
    <n v="80"/>
    <n v="2"/>
    <n v="10"/>
    <n v="2"/>
    <n v="3"/>
    <n v="2"/>
    <n v="0"/>
    <n v="2"/>
  </r>
  <r>
    <s v="No"/>
    <s v="Travel_Rarely"/>
    <x v="0"/>
    <s v="Current Employees"/>
    <x v="1"/>
    <x v="0"/>
    <s v="STAFF-2012"/>
    <x v="1197"/>
    <x v="1"/>
    <x v="2"/>
    <x v="1"/>
    <s v="No"/>
    <s v="Y"/>
    <n v="3"/>
    <n v="-2"/>
    <n v="0"/>
    <x v="32"/>
    <n v="0"/>
    <m/>
    <n v="0"/>
    <n v="1"/>
    <n v="543"/>
    <n v="1"/>
    <x v="2"/>
    <n v="1"/>
    <n v="1"/>
    <n v="83"/>
    <n v="3"/>
    <n v="1"/>
    <n v="4"/>
    <n v="2406"/>
    <n v="4060"/>
    <n v="8"/>
    <n v="19"/>
    <n v="3"/>
    <n v="3"/>
    <n v="80"/>
    <n v="2"/>
    <n v="8"/>
    <n v="2"/>
    <n v="1"/>
    <n v="0"/>
    <n v="0"/>
    <n v="0"/>
  </r>
  <r>
    <s v="No"/>
    <s v="Travel_Rarely"/>
    <x v="0"/>
    <s v="Current Employees"/>
    <x v="1"/>
    <x v="2"/>
    <s v="STAFF-1803"/>
    <x v="1198"/>
    <x v="1"/>
    <x v="4"/>
    <x v="1"/>
    <s v="No"/>
    <s v="Y"/>
    <n v="2"/>
    <n v="-2"/>
    <n v="0"/>
    <x v="19"/>
    <n v="0"/>
    <m/>
    <n v="0"/>
    <n v="1"/>
    <n v="1128"/>
    <n v="13"/>
    <x v="3"/>
    <n v="1"/>
    <n v="2"/>
    <n v="95"/>
    <n v="4"/>
    <n v="2"/>
    <n v="3"/>
    <n v="5538"/>
    <n v="5696"/>
    <n v="5"/>
    <n v="18"/>
    <n v="3"/>
    <n v="3"/>
    <n v="80"/>
    <n v="2"/>
    <n v="10"/>
    <n v="2"/>
    <n v="0"/>
    <n v="0"/>
    <n v="0"/>
    <n v="0"/>
  </r>
  <r>
    <s v="No"/>
    <s v="Travel_Rarely"/>
    <x v="0"/>
    <s v="Current Employees"/>
    <x v="1"/>
    <x v="0"/>
    <s v="STAFF-1596"/>
    <x v="1199"/>
    <x v="1"/>
    <x v="2"/>
    <x v="1"/>
    <s v="No"/>
    <s v="Y"/>
    <n v="3"/>
    <n v="-2"/>
    <n v="0"/>
    <x v="10"/>
    <n v="0"/>
    <m/>
    <n v="0"/>
    <n v="1"/>
    <n v="750"/>
    <n v="28"/>
    <x v="3"/>
    <n v="1"/>
    <n v="2"/>
    <n v="46"/>
    <n v="4"/>
    <n v="2"/>
    <n v="3"/>
    <n v="3407"/>
    <n v="25348"/>
    <n v="1"/>
    <n v="17"/>
    <n v="3"/>
    <n v="4"/>
    <n v="80"/>
    <n v="2"/>
    <n v="10"/>
    <n v="2"/>
    <n v="10"/>
    <n v="9"/>
    <n v="6"/>
    <n v="8"/>
  </r>
  <r>
    <s v="No"/>
    <s v="Travel_Rarely"/>
    <x v="2"/>
    <s v="Current Employees"/>
    <x v="1"/>
    <x v="0"/>
    <s v="STAFF-1514"/>
    <x v="1200"/>
    <x v="1"/>
    <x v="3"/>
    <x v="1"/>
    <s v="No"/>
    <s v="Y"/>
    <n v="2"/>
    <n v="-2"/>
    <n v="0"/>
    <x v="14"/>
    <n v="0"/>
    <m/>
    <n v="0"/>
    <n v="1"/>
    <n v="1083"/>
    <n v="29"/>
    <x v="1"/>
    <n v="1"/>
    <n v="3"/>
    <n v="96"/>
    <n v="1"/>
    <n v="2"/>
    <n v="2"/>
    <n v="6549"/>
    <n v="3173"/>
    <n v="1"/>
    <n v="14"/>
    <n v="3"/>
    <n v="2"/>
    <n v="80"/>
    <n v="2"/>
    <n v="8"/>
    <n v="2"/>
    <n v="8"/>
    <n v="6"/>
    <n v="1"/>
    <n v="7"/>
  </r>
  <r>
    <s v="No"/>
    <s v="Travel_Rarely"/>
    <x v="2"/>
    <s v="Current Employees"/>
    <x v="1"/>
    <x v="0"/>
    <s v="STAFF-1558"/>
    <x v="1201"/>
    <x v="1"/>
    <x v="1"/>
    <x v="1"/>
    <s v="No"/>
    <s v="Y"/>
    <n v="2"/>
    <n v="-2"/>
    <n v="0"/>
    <x v="11"/>
    <n v="0"/>
    <m/>
    <n v="0"/>
    <n v="1"/>
    <n v="598"/>
    <n v="9"/>
    <x v="3"/>
    <n v="1"/>
    <n v="3"/>
    <n v="91"/>
    <n v="4"/>
    <n v="1"/>
    <n v="3"/>
    <n v="2451"/>
    <n v="22376"/>
    <n v="6"/>
    <n v="18"/>
    <n v="3"/>
    <n v="1"/>
    <n v="80"/>
    <n v="2"/>
    <n v="5"/>
    <n v="2"/>
    <n v="1"/>
    <n v="0"/>
    <n v="0"/>
    <n v="0"/>
  </r>
  <r>
    <s v="No"/>
    <s v="Travel_Rarely"/>
    <x v="0"/>
    <s v="Current Employees"/>
    <x v="1"/>
    <x v="2"/>
    <s v="STAFF-1618"/>
    <x v="1202"/>
    <x v="1"/>
    <x v="3"/>
    <x v="1"/>
    <s v="No"/>
    <s v="Y"/>
    <n v="3"/>
    <n v="-2"/>
    <n v="0"/>
    <x v="22"/>
    <n v="0"/>
    <m/>
    <n v="0"/>
    <n v="1"/>
    <n v="1387"/>
    <n v="10"/>
    <x v="4"/>
    <n v="1"/>
    <n v="2"/>
    <n v="76"/>
    <n v="3"/>
    <n v="2"/>
    <n v="1"/>
    <n v="5377"/>
    <n v="3835"/>
    <n v="2"/>
    <n v="13"/>
    <n v="3"/>
    <n v="4"/>
    <n v="80"/>
    <n v="3"/>
    <n v="10"/>
    <n v="3"/>
    <n v="7"/>
    <n v="7"/>
    <n v="7"/>
    <n v="7"/>
  </r>
  <r>
    <s v="No"/>
    <s v="Travel_Rarely"/>
    <x v="2"/>
    <s v="Current Employees"/>
    <x v="1"/>
    <x v="2"/>
    <s v="STAFF-1698"/>
    <x v="1203"/>
    <x v="1"/>
    <x v="2"/>
    <x v="1"/>
    <s v="No"/>
    <s v="Y"/>
    <n v="6"/>
    <n v="-2"/>
    <n v="0"/>
    <x v="3"/>
    <n v="0"/>
    <m/>
    <n v="0"/>
    <n v="1"/>
    <n v="267"/>
    <n v="21"/>
    <x v="3"/>
    <n v="1"/>
    <n v="2"/>
    <n v="79"/>
    <n v="4"/>
    <n v="1"/>
    <n v="2"/>
    <n v="2028"/>
    <n v="13637"/>
    <n v="1"/>
    <n v="18"/>
    <n v="3"/>
    <n v="4"/>
    <n v="80"/>
    <n v="3"/>
    <n v="14"/>
    <n v="3"/>
    <n v="14"/>
    <n v="11"/>
    <n v="2"/>
    <n v="13"/>
  </r>
  <r>
    <s v="No"/>
    <s v="Travel_Rarely"/>
    <x v="3"/>
    <s v="Current Employees"/>
    <x v="1"/>
    <x v="2"/>
    <s v="STAFF-1770"/>
    <x v="1204"/>
    <x v="1"/>
    <x v="7"/>
    <x v="1"/>
    <s v="No"/>
    <s v="Y"/>
    <n v="2"/>
    <n v="-2"/>
    <n v="0"/>
    <x v="27"/>
    <n v="0"/>
    <m/>
    <n v="0"/>
    <n v="1"/>
    <n v="478"/>
    <n v="2"/>
    <x v="3"/>
    <n v="1"/>
    <n v="3"/>
    <n v="60"/>
    <n v="2"/>
    <n v="5"/>
    <n v="1"/>
    <n v="19038"/>
    <n v="19805"/>
    <n v="8"/>
    <n v="12"/>
    <n v="3"/>
    <n v="2"/>
    <n v="80"/>
    <n v="3"/>
    <n v="34"/>
    <n v="3"/>
    <n v="1"/>
    <n v="0"/>
    <n v="0"/>
    <n v="0"/>
  </r>
  <r>
    <s v="No"/>
    <s v="Travel_Rarely"/>
    <x v="0"/>
    <s v="Current Employees"/>
    <x v="1"/>
    <x v="0"/>
    <s v="STAFF-1631"/>
    <x v="1205"/>
    <x v="1"/>
    <x v="3"/>
    <x v="1"/>
    <s v="No"/>
    <s v="Y"/>
    <n v="2"/>
    <n v="-2"/>
    <n v="0"/>
    <x v="2"/>
    <n v="0"/>
    <m/>
    <n v="0"/>
    <n v="1"/>
    <n v="671"/>
    <n v="19"/>
    <x v="3"/>
    <n v="1"/>
    <n v="3"/>
    <n v="85"/>
    <n v="3"/>
    <n v="2"/>
    <n v="3"/>
    <n v="5768"/>
    <n v="26493"/>
    <n v="3"/>
    <n v="17"/>
    <n v="3"/>
    <n v="1"/>
    <n v="80"/>
    <n v="3"/>
    <n v="9"/>
    <n v="2"/>
    <n v="4"/>
    <n v="3"/>
    <n v="0"/>
    <n v="2"/>
  </r>
  <r>
    <s v="No"/>
    <s v="Travel_Rarely"/>
    <x v="2"/>
    <s v="Current Employees"/>
    <x v="1"/>
    <x v="2"/>
    <s v="STAFF-1718"/>
    <x v="1206"/>
    <x v="1"/>
    <x v="2"/>
    <x v="1"/>
    <s v="No"/>
    <s v="Y"/>
    <n v="3"/>
    <n v="-2"/>
    <n v="0"/>
    <x v="25"/>
    <n v="0"/>
    <m/>
    <n v="0"/>
    <n v="1"/>
    <n v="390"/>
    <n v="17"/>
    <x v="2"/>
    <n v="1"/>
    <n v="4"/>
    <n v="62"/>
    <n v="1"/>
    <n v="1"/>
    <n v="3"/>
    <n v="2305"/>
    <n v="6217"/>
    <n v="1"/>
    <n v="15"/>
    <n v="3"/>
    <n v="3"/>
    <n v="80"/>
    <n v="3"/>
    <n v="3"/>
    <n v="4"/>
    <n v="3"/>
    <n v="2"/>
    <n v="0"/>
    <n v="2"/>
  </r>
  <r>
    <s v="No"/>
    <s v="Travel_Rarely"/>
    <x v="0"/>
    <s v="Current Employees"/>
    <x v="1"/>
    <x v="0"/>
    <s v="STAFF-1435"/>
    <x v="1207"/>
    <x v="1"/>
    <x v="2"/>
    <x v="0"/>
    <s v="No"/>
    <s v="Y"/>
    <n v="2"/>
    <n v="-2"/>
    <n v="0"/>
    <x v="9"/>
    <n v="0"/>
    <m/>
    <n v="0"/>
    <n v="1"/>
    <n v="172"/>
    <n v="4"/>
    <x v="2"/>
    <n v="1"/>
    <n v="1"/>
    <n v="37"/>
    <n v="2"/>
    <n v="2"/>
    <n v="4"/>
    <n v="5810"/>
    <n v="22604"/>
    <n v="1"/>
    <n v="16"/>
    <n v="3"/>
    <n v="3"/>
    <n v="80"/>
    <n v="0"/>
    <n v="10"/>
    <n v="2"/>
    <n v="10"/>
    <n v="4"/>
    <n v="1"/>
    <n v="8"/>
  </r>
  <r>
    <s v="No"/>
    <s v="Travel_Rarely"/>
    <x v="0"/>
    <s v="Current Employees"/>
    <x v="1"/>
    <x v="0"/>
    <s v="STAFF-1659"/>
    <x v="1208"/>
    <x v="1"/>
    <x v="2"/>
    <x v="0"/>
    <s v="No"/>
    <s v="Y"/>
    <n v="4"/>
    <n v="-2"/>
    <n v="0"/>
    <x v="9"/>
    <n v="0"/>
    <m/>
    <n v="0"/>
    <n v="1"/>
    <n v="311"/>
    <n v="7"/>
    <x v="3"/>
    <n v="1"/>
    <n v="1"/>
    <n v="77"/>
    <n v="3"/>
    <n v="1"/>
    <n v="2"/>
    <n v="2013"/>
    <n v="10950"/>
    <n v="2"/>
    <n v="11"/>
    <n v="3"/>
    <n v="3"/>
    <n v="80"/>
    <n v="0"/>
    <n v="15"/>
    <n v="3"/>
    <n v="4"/>
    <n v="3"/>
    <n v="1"/>
    <n v="3"/>
  </r>
  <r>
    <s v="No"/>
    <s v="Travel_Rarely"/>
    <x v="4"/>
    <s v="Current Employees"/>
    <x v="1"/>
    <x v="0"/>
    <s v="STAFF-1533"/>
    <x v="1209"/>
    <x v="1"/>
    <x v="2"/>
    <x v="0"/>
    <s v="No"/>
    <s v="Y"/>
    <n v="2"/>
    <n v="-2"/>
    <n v="0"/>
    <x v="30"/>
    <n v="0"/>
    <m/>
    <n v="0"/>
    <n v="1"/>
    <n v="507"/>
    <n v="20"/>
    <x v="1"/>
    <n v="1"/>
    <n v="1"/>
    <n v="97"/>
    <n v="3"/>
    <n v="2"/>
    <n v="3"/>
    <n v="2272"/>
    <n v="24812"/>
    <n v="0"/>
    <n v="14"/>
    <n v="3"/>
    <n v="2"/>
    <n v="80"/>
    <n v="0"/>
    <n v="5"/>
    <n v="3"/>
    <n v="4"/>
    <n v="3"/>
    <n v="1"/>
    <n v="2"/>
  </r>
  <r>
    <s v="No"/>
    <s v="Travel_Rarely"/>
    <x v="2"/>
    <s v="Current Employees"/>
    <x v="1"/>
    <x v="2"/>
    <s v="STAFF-1577"/>
    <x v="1210"/>
    <x v="1"/>
    <x v="1"/>
    <x v="0"/>
    <s v="No"/>
    <s v="Y"/>
    <n v="4"/>
    <n v="-2"/>
    <n v="0"/>
    <x v="13"/>
    <n v="0"/>
    <m/>
    <n v="0"/>
    <n v="1"/>
    <n v="479"/>
    <n v="7"/>
    <x v="2"/>
    <n v="1"/>
    <n v="1"/>
    <n v="35"/>
    <n v="3"/>
    <n v="1"/>
    <n v="4"/>
    <n v="2972"/>
    <n v="22061"/>
    <n v="1"/>
    <n v="13"/>
    <n v="3"/>
    <n v="3"/>
    <n v="80"/>
    <n v="0"/>
    <n v="1"/>
    <n v="1"/>
    <n v="1"/>
    <n v="0"/>
    <n v="0"/>
    <n v="0"/>
  </r>
  <r>
    <s v="No"/>
    <s v="Travel_Rarely"/>
    <x v="0"/>
    <s v="Current Employees"/>
    <x v="1"/>
    <x v="0"/>
    <s v="STAFF-2014"/>
    <x v="1211"/>
    <x v="1"/>
    <x v="1"/>
    <x v="0"/>
    <s v="No"/>
    <s v="Y"/>
    <n v="2"/>
    <n v="-2"/>
    <n v="0"/>
    <x v="22"/>
    <n v="0"/>
    <m/>
    <n v="0"/>
    <n v="1"/>
    <n v="116"/>
    <n v="24"/>
    <x v="1"/>
    <n v="1"/>
    <n v="1"/>
    <n v="52"/>
    <n v="3"/>
    <n v="2"/>
    <n v="4"/>
    <n v="4108"/>
    <n v="5340"/>
    <n v="7"/>
    <n v="13"/>
    <n v="3"/>
    <n v="1"/>
    <n v="80"/>
    <n v="0"/>
    <n v="18"/>
    <n v="3"/>
    <n v="7"/>
    <n v="7"/>
    <n v="1"/>
    <n v="7"/>
  </r>
  <r>
    <s v="No"/>
    <s v="Travel_Rarely"/>
    <x v="4"/>
    <s v="Current Employees"/>
    <x v="1"/>
    <x v="0"/>
    <s v="STAFF-1981"/>
    <x v="1212"/>
    <x v="1"/>
    <x v="4"/>
    <x v="0"/>
    <s v="No"/>
    <s v="Y"/>
    <n v="2"/>
    <n v="-2"/>
    <n v="0"/>
    <x v="17"/>
    <n v="0"/>
    <m/>
    <n v="0"/>
    <n v="1"/>
    <n v="771"/>
    <n v="1"/>
    <x v="0"/>
    <n v="1"/>
    <n v="2"/>
    <n v="45"/>
    <n v="2"/>
    <n v="2"/>
    <n v="3"/>
    <n v="4617"/>
    <n v="14120"/>
    <n v="1"/>
    <n v="12"/>
    <n v="3"/>
    <n v="2"/>
    <n v="80"/>
    <n v="0"/>
    <n v="4"/>
    <n v="2"/>
    <n v="4"/>
    <n v="3"/>
    <n v="1"/>
    <n v="2"/>
  </r>
  <r>
    <s v="No"/>
    <s v="Travel_Rarely"/>
    <x v="0"/>
    <s v="Current Employees"/>
    <x v="1"/>
    <x v="2"/>
    <s v="STAFF-2008"/>
    <x v="1213"/>
    <x v="1"/>
    <x v="1"/>
    <x v="0"/>
    <s v="No"/>
    <s v="Y"/>
    <n v="5"/>
    <n v="-2"/>
    <n v="0"/>
    <x v="10"/>
    <n v="0"/>
    <m/>
    <n v="0"/>
    <n v="1"/>
    <n v="1395"/>
    <n v="9"/>
    <x v="2"/>
    <n v="1"/>
    <n v="2"/>
    <n v="48"/>
    <n v="3"/>
    <n v="2"/>
    <n v="3"/>
    <n v="5098"/>
    <n v="18698"/>
    <n v="1"/>
    <n v="19"/>
    <n v="3"/>
    <n v="2"/>
    <n v="80"/>
    <n v="0"/>
    <n v="10"/>
    <n v="3"/>
    <n v="10"/>
    <n v="7"/>
    <n v="0"/>
    <n v="8"/>
  </r>
  <r>
    <s v="No"/>
    <s v="Travel_Rarely"/>
    <x v="0"/>
    <s v="Current Employees"/>
    <x v="1"/>
    <x v="0"/>
    <s v="STAFF-1814"/>
    <x v="1214"/>
    <x v="1"/>
    <x v="4"/>
    <x v="0"/>
    <s v="No"/>
    <s v="Y"/>
    <n v="3"/>
    <n v="-2"/>
    <n v="0"/>
    <x v="0"/>
    <n v="0"/>
    <m/>
    <n v="0"/>
    <n v="1"/>
    <n v="447"/>
    <n v="5"/>
    <x v="3"/>
    <n v="1"/>
    <n v="2"/>
    <n v="85"/>
    <n v="4"/>
    <n v="2"/>
    <n v="2"/>
    <n v="6870"/>
    <n v="15530"/>
    <n v="3"/>
    <n v="12"/>
    <n v="3"/>
    <n v="1"/>
    <n v="80"/>
    <n v="0"/>
    <n v="11"/>
    <n v="1"/>
    <n v="3"/>
    <n v="2"/>
    <n v="1"/>
    <n v="2"/>
  </r>
  <r>
    <s v="No"/>
    <s v="Travel_Rarely"/>
    <x v="0"/>
    <s v="Current Employees"/>
    <x v="1"/>
    <x v="0"/>
    <s v="STAFF-2048"/>
    <x v="1215"/>
    <x v="1"/>
    <x v="1"/>
    <x v="0"/>
    <s v="No"/>
    <s v="Y"/>
    <n v="2"/>
    <n v="-2"/>
    <n v="0"/>
    <x v="32"/>
    <n v="0"/>
    <m/>
    <n v="0"/>
    <n v="1"/>
    <n v="1322"/>
    <n v="2"/>
    <x v="2"/>
    <n v="1"/>
    <n v="3"/>
    <n v="52"/>
    <n v="2"/>
    <n v="1"/>
    <n v="3"/>
    <n v="2809"/>
    <n v="2725"/>
    <n v="2"/>
    <n v="14"/>
    <n v="3"/>
    <n v="4"/>
    <n v="80"/>
    <n v="0"/>
    <n v="8"/>
    <n v="3"/>
    <n v="2"/>
    <n v="2"/>
    <n v="2"/>
    <n v="2"/>
  </r>
  <r>
    <s v="No"/>
    <s v="Travel_Rarely"/>
    <x v="2"/>
    <s v="Current Employees"/>
    <x v="1"/>
    <x v="2"/>
    <s v="STAFF-1952"/>
    <x v="1216"/>
    <x v="1"/>
    <x v="2"/>
    <x v="0"/>
    <s v="No"/>
    <s v="Y"/>
    <n v="6"/>
    <n v="-2"/>
    <n v="0"/>
    <x v="25"/>
    <n v="0"/>
    <m/>
    <n v="0"/>
    <n v="1"/>
    <n v="157"/>
    <n v="1"/>
    <x v="3"/>
    <n v="1"/>
    <n v="3"/>
    <n v="95"/>
    <n v="3"/>
    <n v="1"/>
    <n v="1"/>
    <n v="2867"/>
    <n v="20006"/>
    <n v="0"/>
    <n v="13"/>
    <n v="3"/>
    <n v="4"/>
    <n v="80"/>
    <n v="0"/>
    <n v="8"/>
    <n v="2"/>
    <n v="7"/>
    <n v="7"/>
    <n v="7"/>
    <n v="6"/>
  </r>
  <r>
    <s v="No"/>
    <s v="Travel_Rarely"/>
    <x v="1"/>
    <s v="Current Employees"/>
    <x v="1"/>
    <x v="0"/>
    <s v="STAFF-1727"/>
    <x v="1217"/>
    <x v="1"/>
    <x v="4"/>
    <x v="0"/>
    <s v="No"/>
    <s v="Y"/>
    <n v="3"/>
    <n v="-2"/>
    <n v="0"/>
    <x v="21"/>
    <n v="0"/>
    <m/>
    <n v="0"/>
    <n v="1"/>
    <n v="717"/>
    <n v="13"/>
    <x v="2"/>
    <n v="1"/>
    <n v="3"/>
    <n v="34"/>
    <n v="3"/>
    <n v="2"/>
    <n v="2"/>
    <n v="5562"/>
    <n v="9697"/>
    <n v="6"/>
    <n v="14"/>
    <n v="3"/>
    <n v="4"/>
    <n v="80"/>
    <n v="0"/>
    <n v="19"/>
    <n v="3"/>
    <n v="10"/>
    <n v="7"/>
    <n v="0"/>
    <n v="9"/>
  </r>
  <r>
    <s v="No"/>
    <s v="Travel_Rarely"/>
    <x v="1"/>
    <s v="Current Employees"/>
    <x v="1"/>
    <x v="0"/>
    <s v="STAFF-1677"/>
    <x v="1218"/>
    <x v="1"/>
    <x v="5"/>
    <x v="0"/>
    <s v="No"/>
    <s v="Y"/>
    <n v="2"/>
    <n v="-2"/>
    <n v="0"/>
    <x v="1"/>
    <n v="0"/>
    <m/>
    <n v="0"/>
    <n v="1"/>
    <n v="809"/>
    <n v="1"/>
    <x v="3"/>
    <n v="1"/>
    <n v="3"/>
    <n v="36"/>
    <n v="3"/>
    <n v="4"/>
    <n v="3"/>
    <n v="15379"/>
    <n v="22384"/>
    <n v="4"/>
    <n v="14"/>
    <n v="3"/>
    <n v="1"/>
    <n v="80"/>
    <n v="0"/>
    <n v="23"/>
    <n v="3"/>
    <n v="8"/>
    <n v="7"/>
    <n v="0"/>
    <n v="0"/>
  </r>
  <r>
    <s v="No"/>
    <s v="Travel_Rarely"/>
    <x v="4"/>
    <s v="Current Employees"/>
    <x v="1"/>
    <x v="2"/>
    <s v="STAFF-1623"/>
    <x v="1219"/>
    <x v="1"/>
    <x v="1"/>
    <x v="0"/>
    <s v="No"/>
    <s v="Y"/>
    <n v="2"/>
    <n v="-2"/>
    <n v="0"/>
    <x v="18"/>
    <n v="0"/>
    <m/>
    <n v="0"/>
    <n v="1"/>
    <n v="546"/>
    <n v="5"/>
    <x v="1"/>
    <n v="1"/>
    <n v="3"/>
    <n v="97"/>
    <n v="3"/>
    <n v="1"/>
    <n v="4"/>
    <n v="3117"/>
    <n v="26009"/>
    <n v="1"/>
    <n v="18"/>
    <n v="3"/>
    <n v="3"/>
    <n v="80"/>
    <n v="0"/>
    <n v="3"/>
    <n v="3"/>
    <n v="2"/>
    <n v="2"/>
    <n v="2"/>
    <n v="2"/>
  </r>
  <r>
    <s v="No"/>
    <s v="Travel_Rarely"/>
    <x v="2"/>
    <s v="Current Employees"/>
    <x v="1"/>
    <x v="1"/>
    <s v="STAFF-1417"/>
    <x v="1220"/>
    <x v="1"/>
    <x v="2"/>
    <x v="0"/>
    <s v="No"/>
    <s v="Y"/>
    <n v="2"/>
    <n v="-2"/>
    <n v="0"/>
    <x v="25"/>
    <n v="0"/>
    <m/>
    <n v="0"/>
    <n v="1"/>
    <n v="652"/>
    <n v="7"/>
    <x v="3"/>
    <n v="1"/>
    <n v="3"/>
    <n v="100"/>
    <n v="4"/>
    <n v="1"/>
    <n v="1"/>
    <n v="3578"/>
    <n v="23577"/>
    <n v="0"/>
    <n v="12"/>
    <n v="3"/>
    <n v="4"/>
    <n v="80"/>
    <n v="0"/>
    <n v="8"/>
    <n v="3"/>
    <n v="7"/>
    <n v="7"/>
    <n v="0"/>
    <n v="7"/>
  </r>
  <r>
    <s v="No"/>
    <s v="Travel_Rarely"/>
    <x v="0"/>
    <s v="Current Employees"/>
    <x v="1"/>
    <x v="2"/>
    <s v="STAFF-1564"/>
    <x v="1221"/>
    <x v="1"/>
    <x v="2"/>
    <x v="0"/>
    <s v="No"/>
    <s v="Y"/>
    <n v="3"/>
    <n v="-2"/>
    <n v="0"/>
    <x v="10"/>
    <n v="0"/>
    <m/>
    <n v="0"/>
    <n v="1"/>
    <n v="992"/>
    <n v="1"/>
    <x v="3"/>
    <n v="1"/>
    <n v="4"/>
    <n v="68"/>
    <n v="2"/>
    <n v="1"/>
    <n v="1"/>
    <n v="2450"/>
    <n v="21731"/>
    <n v="1"/>
    <n v="19"/>
    <n v="3"/>
    <n v="2"/>
    <n v="80"/>
    <n v="0"/>
    <n v="3"/>
    <n v="3"/>
    <n v="3"/>
    <n v="0"/>
    <n v="1"/>
    <n v="2"/>
  </r>
  <r>
    <s v="No"/>
    <s v="Travel_Rarely"/>
    <x v="2"/>
    <s v="Current Employees"/>
    <x v="1"/>
    <x v="0"/>
    <s v="STAFF-1545"/>
    <x v="1222"/>
    <x v="1"/>
    <x v="3"/>
    <x v="0"/>
    <s v="No"/>
    <s v="Y"/>
    <n v="2"/>
    <n v="-2"/>
    <n v="0"/>
    <x v="3"/>
    <n v="0"/>
    <m/>
    <n v="0"/>
    <n v="1"/>
    <n v="575"/>
    <n v="25"/>
    <x v="3"/>
    <n v="1"/>
    <n v="4"/>
    <n v="44"/>
    <n v="2"/>
    <n v="2"/>
    <n v="2"/>
    <n v="4320"/>
    <n v="24152"/>
    <n v="1"/>
    <n v="13"/>
    <n v="3"/>
    <n v="4"/>
    <n v="80"/>
    <n v="0"/>
    <n v="5"/>
    <n v="3"/>
    <n v="5"/>
    <n v="3"/>
    <n v="0"/>
    <n v="2"/>
  </r>
  <r>
    <s v="No"/>
    <s v="Travel_Rarely"/>
    <x v="2"/>
    <s v="Current Employees"/>
    <x v="1"/>
    <x v="0"/>
    <s v="STAFF-1883"/>
    <x v="1223"/>
    <x v="1"/>
    <x v="2"/>
    <x v="0"/>
    <s v="No"/>
    <s v="Y"/>
    <n v="2"/>
    <n v="-2"/>
    <n v="0"/>
    <x v="11"/>
    <n v="0"/>
    <m/>
    <n v="0"/>
    <n v="1"/>
    <n v="592"/>
    <n v="7"/>
    <x v="3"/>
    <n v="1"/>
    <n v="4"/>
    <n v="59"/>
    <n v="3"/>
    <n v="1"/>
    <n v="1"/>
    <n v="2062"/>
    <n v="19384"/>
    <n v="3"/>
    <n v="14"/>
    <n v="3"/>
    <n v="2"/>
    <n v="80"/>
    <n v="0"/>
    <n v="11"/>
    <n v="3"/>
    <n v="3"/>
    <n v="2"/>
    <n v="1"/>
    <n v="2"/>
  </r>
  <r>
    <s v="No"/>
    <s v="Travel_Rarely"/>
    <x v="2"/>
    <s v="Current Employees"/>
    <x v="1"/>
    <x v="4"/>
    <s v="STAFF-2038"/>
    <x v="1224"/>
    <x v="1"/>
    <x v="1"/>
    <x v="0"/>
    <s v="No"/>
    <s v="Y"/>
    <n v="4"/>
    <n v="-2"/>
    <n v="0"/>
    <x v="5"/>
    <n v="0"/>
    <m/>
    <n v="0"/>
    <n v="1"/>
    <n v="529"/>
    <n v="2"/>
    <x v="3"/>
    <n v="1"/>
    <n v="4"/>
    <n v="78"/>
    <n v="3"/>
    <n v="1"/>
    <n v="4"/>
    <n v="2439"/>
    <n v="11288"/>
    <n v="1"/>
    <n v="14"/>
    <n v="3"/>
    <n v="4"/>
    <n v="80"/>
    <n v="0"/>
    <n v="4"/>
    <n v="3"/>
    <n v="4"/>
    <n v="2"/>
    <n v="1"/>
    <n v="2"/>
  </r>
  <r>
    <s v="No"/>
    <s v="Travel_Rarely"/>
    <x v="0"/>
    <s v="Current Employees"/>
    <x v="1"/>
    <x v="0"/>
    <s v="STAFF-1475"/>
    <x v="1225"/>
    <x v="1"/>
    <x v="1"/>
    <x v="0"/>
    <s v="No"/>
    <s v="Y"/>
    <n v="3"/>
    <n v="-2"/>
    <n v="0"/>
    <x v="20"/>
    <n v="0"/>
    <m/>
    <n v="0"/>
    <n v="1"/>
    <n v="1467"/>
    <n v="20"/>
    <x v="3"/>
    <n v="1"/>
    <n v="4"/>
    <n v="49"/>
    <n v="3"/>
    <n v="1"/>
    <n v="2"/>
    <n v="3420"/>
    <n v="21158"/>
    <n v="1"/>
    <n v="13"/>
    <n v="3"/>
    <n v="3"/>
    <n v="80"/>
    <n v="0"/>
    <n v="6"/>
    <n v="2"/>
    <n v="5"/>
    <n v="2"/>
    <n v="1"/>
    <n v="3"/>
  </r>
  <r>
    <s v="No"/>
    <s v="Travel_Rarely"/>
    <x v="0"/>
    <s v="Current Employees"/>
    <x v="1"/>
    <x v="0"/>
    <s v="STAFF-1860"/>
    <x v="1226"/>
    <x v="1"/>
    <x v="2"/>
    <x v="0"/>
    <s v="No"/>
    <s v="Y"/>
    <n v="3"/>
    <n v="-2"/>
    <n v="0"/>
    <x v="19"/>
    <n v="0"/>
    <m/>
    <n v="0"/>
    <n v="1"/>
    <n v="1142"/>
    <n v="8"/>
    <x v="3"/>
    <n v="1"/>
    <n v="4"/>
    <n v="81"/>
    <n v="3"/>
    <n v="1"/>
    <n v="3"/>
    <n v="3968"/>
    <n v="13624"/>
    <n v="4"/>
    <n v="13"/>
    <n v="3"/>
    <n v="4"/>
    <n v="80"/>
    <n v="0"/>
    <n v="8"/>
    <n v="3"/>
    <n v="0"/>
    <n v="0"/>
    <n v="0"/>
    <n v="0"/>
  </r>
  <r>
    <s v="No"/>
    <s v="Travel_Rarely"/>
    <x v="4"/>
    <s v="Current Employees"/>
    <x v="1"/>
    <x v="0"/>
    <s v="STAFF-2007"/>
    <x v="1227"/>
    <x v="1"/>
    <x v="1"/>
    <x v="0"/>
    <s v="No"/>
    <s v="Y"/>
    <n v="2"/>
    <n v="-2"/>
    <n v="0"/>
    <x v="15"/>
    <n v="0"/>
    <m/>
    <n v="0"/>
    <n v="1"/>
    <n v="581"/>
    <n v="1"/>
    <x v="0"/>
    <n v="1"/>
    <n v="4"/>
    <n v="63"/>
    <n v="3"/>
    <n v="1"/>
    <n v="3"/>
    <n v="3375"/>
    <n v="17624"/>
    <n v="0"/>
    <n v="12"/>
    <n v="3"/>
    <n v="4"/>
    <n v="80"/>
    <n v="0"/>
    <n v="4"/>
    <n v="4"/>
    <n v="3"/>
    <n v="2"/>
    <n v="1"/>
    <n v="2"/>
  </r>
  <r>
    <s v="No"/>
    <s v="Travel_Rarely"/>
    <x v="4"/>
    <s v="Current Employees"/>
    <x v="1"/>
    <x v="1"/>
    <s v="STAFF-1982"/>
    <x v="1228"/>
    <x v="1"/>
    <x v="2"/>
    <x v="0"/>
    <s v="No"/>
    <s v="Y"/>
    <n v="6"/>
    <n v="-2"/>
    <n v="0"/>
    <x v="30"/>
    <n v="0"/>
    <m/>
    <n v="0"/>
    <n v="1"/>
    <n v="571"/>
    <n v="12"/>
    <x v="0"/>
    <n v="1"/>
    <n v="4"/>
    <n v="78"/>
    <n v="3"/>
    <n v="1"/>
    <n v="4"/>
    <n v="2647"/>
    <n v="13672"/>
    <n v="1"/>
    <n v="13"/>
    <n v="3"/>
    <n v="3"/>
    <n v="80"/>
    <n v="0"/>
    <n v="5"/>
    <n v="4"/>
    <n v="5"/>
    <n v="2"/>
    <n v="1"/>
    <n v="4"/>
  </r>
  <r>
    <s v="No"/>
    <s v="Travel_Rarely"/>
    <x v="1"/>
    <s v="Current Employees"/>
    <x v="1"/>
    <x v="2"/>
    <s v="STAFF-1472"/>
    <x v="1229"/>
    <x v="1"/>
    <x v="7"/>
    <x v="0"/>
    <s v="No"/>
    <s v="Y"/>
    <n v="2"/>
    <n v="-2"/>
    <n v="0"/>
    <x v="16"/>
    <n v="0"/>
    <m/>
    <n v="0"/>
    <n v="1"/>
    <n v="447"/>
    <n v="2"/>
    <x v="3"/>
    <n v="1"/>
    <n v="4"/>
    <n v="39"/>
    <n v="4"/>
    <n v="4"/>
    <n v="2"/>
    <n v="16598"/>
    <n v="19764"/>
    <n v="4"/>
    <n v="12"/>
    <n v="3"/>
    <n v="2"/>
    <n v="80"/>
    <n v="0"/>
    <n v="35"/>
    <n v="2"/>
    <n v="9"/>
    <n v="8"/>
    <n v="8"/>
    <n v="8"/>
  </r>
  <r>
    <s v="No"/>
    <s v="Travel_Rarely"/>
    <x v="2"/>
    <s v="Current Employees"/>
    <x v="0"/>
    <x v="0"/>
    <s v="STAFF-1453"/>
    <x v="1230"/>
    <x v="1"/>
    <x v="0"/>
    <x v="2"/>
    <s v="No"/>
    <s v="Y"/>
    <n v="5"/>
    <n v="-2"/>
    <n v="0"/>
    <x v="12"/>
    <n v="0"/>
    <m/>
    <n v="0"/>
    <n v="1"/>
    <n v="326"/>
    <n v="8"/>
    <x v="0"/>
    <n v="1"/>
    <n v="1"/>
    <n v="31"/>
    <n v="3"/>
    <n v="3"/>
    <n v="4"/>
    <n v="10793"/>
    <n v="8386"/>
    <n v="1"/>
    <n v="18"/>
    <n v="3"/>
    <n v="1"/>
    <n v="80"/>
    <n v="1"/>
    <n v="13"/>
    <n v="3"/>
    <n v="13"/>
    <n v="7"/>
    <n v="9"/>
    <n v="9"/>
  </r>
  <r>
    <s v="No"/>
    <s v="Travel_Rarely"/>
    <x v="2"/>
    <s v="Current Employees"/>
    <x v="0"/>
    <x v="3"/>
    <s v="STAFF-1754"/>
    <x v="1231"/>
    <x v="1"/>
    <x v="0"/>
    <x v="2"/>
    <s v="No"/>
    <s v="Y"/>
    <n v="2"/>
    <n v="-2"/>
    <n v="0"/>
    <x v="7"/>
    <n v="0"/>
    <m/>
    <n v="0"/>
    <n v="1"/>
    <n v="979"/>
    <n v="15"/>
    <x v="0"/>
    <n v="1"/>
    <n v="3"/>
    <n v="94"/>
    <n v="2"/>
    <n v="3"/>
    <n v="2"/>
    <n v="7140"/>
    <n v="3088"/>
    <n v="2"/>
    <n v="11"/>
    <n v="3"/>
    <n v="1"/>
    <n v="80"/>
    <n v="1"/>
    <n v="12"/>
    <n v="3"/>
    <n v="7"/>
    <n v="7"/>
    <n v="1"/>
    <n v="7"/>
  </r>
  <r>
    <s v="No"/>
    <s v="Travel_Rarely"/>
    <x v="0"/>
    <s v="Current Employees"/>
    <x v="0"/>
    <x v="0"/>
    <s v="STAFF-2037"/>
    <x v="1232"/>
    <x v="1"/>
    <x v="0"/>
    <x v="2"/>
    <s v="No"/>
    <s v="Y"/>
    <n v="5"/>
    <n v="-2"/>
    <n v="0"/>
    <x v="0"/>
    <n v="0"/>
    <m/>
    <n v="0"/>
    <n v="1"/>
    <n v="930"/>
    <n v="3"/>
    <x v="3"/>
    <n v="1"/>
    <n v="3"/>
    <n v="57"/>
    <n v="2"/>
    <n v="2"/>
    <n v="2"/>
    <n v="8938"/>
    <n v="12227"/>
    <n v="2"/>
    <n v="11"/>
    <n v="3"/>
    <n v="3"/>
    <n v="80"/>
    <n v="1"/>
    <n v="14"/>
    <n v="3"/>
    <n v="5"/>
    <n v="4"/>
    <n v="0"/>
    <n v="4"/>
  </r>
  <r>
    <s v="No"/>
    <s v="Travel_Rarely"/>
    <x v="2"/>
    <s v="Current Employees"/>
    <x v="0"/>
    <x v="2"/>
    <s v="STAFF-1951"/>
    <x v="1233"/>
    <x v="1"/>
    <x v="0"/>
    <x v="2"/>
    <s v="No"/>
    <s v="Y"/>
    <n v="2"/>
    <n v="-2"/>
    <n v="0"/>
    <x v="13"/>
    <n v="0"/>
    <m/>
    <n v="0"/>
    <n v="1"/>
    <n v="1239"/>
    <n v="13"/>
    <x v="2"/>
    <n v="1"/>
    <n v="4"/>
    <n v="39"/>
    <n v="3"/>
    <n v="3"/>
    <n v="3"/>
    <n v="8628"/>
    <n v="22914"/>
    <n v="1"/>
    <n v="18"/>
    <n v="3"/>
    <n v="3"/>
    <n v="80"/>
    <n v="1"/>
    <n v="9"/>
    <n v="2"/>
    <n v="8"/>
    <n v="7"/>
    <n v="1"/>
    <n v="1"/>
  </r>
  <r>
    <s v="No"/>
    <s v="Travel_Rarely"/>
    <x v="2"/>
    <s v="Current Employees"/>
    <x v="0"/>
    <x v="0"/>
    <s v="STAFF-1497"/>
    <x v="1234"/>
    <x v="1"/>
    <x v="0"/>
    <x v="2"/>
    <s v="No"/>
    <s v="Y"/>
    <n v="3"/>
    <n v="-2"/>
    <n v="0"/>
    <x v="11"/>
    <n v="0"/>
    <m/>
    <n v="0"/>
    <n v="1"/>
    <n v="1246"/>
    <n v="19"/>
    <x v="3"/>
    <n v="1"/>
    <n v="3"/>
    <n v="77"/>
    <n v="2"/>
    <n v="2"/>
    <n v="3"/>
    <n v="8620"/>
    <n v="23757"/>
    <n v="1"/>
    <n v="14"/>
    <n v="3"/>
    <n v="3"/>
    <n v="80"/>
    <n v="2"/>
    <n v="10"/>
    <n v="3"/>
    <n v="10"/>
    <n v="7"/>
    <n v="0"/>
    <n v="4"/>
  </r>
  <r>
    <s v="No"/>
    <s v="Travel_Rarely"/>
    <x v="2"/>
    <s v="Current Employees"/>
    <x v="0"/>
    <x v="2"/>
    <s v="STAFF-1670"/>
    <x v="1235"/>
    <x v="1"/>
    <x v="0"/>
    <x v="2"/>
    <s v="No"/>
    <s v="Y"/>
    <n v="5"/>
    <n v="-2"/>
    <n v="0"/>
    <x v="3"/>
    <n v="0"/>
    <m/>
    <n v="0"/>
    <n v="1"/>
    <n v="392"/>
    <n v="2"/>
    <x v="2"/>
    <n v="1"/>
    <n v="4"/>
    <n v="93"/>
    <n v="3"/>
    <n v="2"/>
    <n v="4"/>
    <n v="5505"/>
    <n v="3921"/>
    <n v="1"/>
    <n v="14"/>
    <n v="3"/>
    <n v="3"/>
    <n v="80"/>
    <n v="2"/>
    <n v="6"/>
    <n v="3"/>
    <n v="6"/>
    <n v="2"/>
    <n v="0"/>
    <n v="4"/>
  </r>
  <r>
    <s v="No"/>
    <s v="Travel_Rarely"/>
    <x v="1"/>
    <s v="Current Employees"/>
    <x v="0"/>
    <x v="3"/>
    <s v="STAFF-1466"/>
    <x v="1236"/>
    <x v="1"/>
    <x v="0"/>
    <x v="2"/>
    <s v="No"/>
    <s v="Y"/>
    <n v="3"/>
    <n v="-2"/>
    <n v="0"/>
    <x v="26"/>
    <n v="0"/>
    <m/>
    <n v="0"/>
    <n v="1"/>
    <n v="1221"/>
    <n v="7"/>
    <x v="3"/>
    <n v="1"/>
    <n v="3"/>
    <n v="96"/>
    <n v="3"/>
    <n v="2"/>
    <n v="2"/>
    <n v="5486"/>
    <n v="24795"/>
    <n v="4"/>
    <n v="11"/>
    <n v="3"/>
    <n v="1"/>
    <n v="80"/>
    <n v="3"/>
    <n v="15"/>
    <n v="3"/>
    <n v="2"/>
    <n v="2"/>
    <n v="2"/>
    <n v="2"/>
  </r>
  <r>
    <s v="No"/>
    <s v="Travel_Rarely"/>
    <x v="0"/>
    <s v="Current Employees"/>
    <x v="0"/>
    <x v="2"/>
    <s v="STAFF-1548"/>
    <x v="1237"/>
    <x v="1"/>
    <x v="0"/>
    <x v="1"/>
    <s v="No"/>
    <s v="Y"/>
    <n v="5"/>
    <n v="-2"/>
    <n v="0"/>
    <x v="32"/>
    <n v="0"/>
    <m/>
    <n v="0"/>
    <n v="1"/>
    <n v="1342"/>
    <n v="9"/>
    <x v="0"/>
    <n v="1"/>
    <n v="1"/>
    <n v="47"/>
    <n v="3"/>
    <n v="2"/>
    <n v="1"/>
    <n v="5473"/>
    <n v="19345"/>
    <n v="0"/>
    <n v="12"/>
    <n v="3"/>
    <n v="4"/>
    <n v="80"/>
    <n v="0"/>
    <n v="9"/>
    <n v="4"/>
    <n v="8"/>
    <n v="4"/>
    <n v="7"/>
    <n v="1"/>
  </r>
  <r>
    <s v="No"/>
    <s v="Travel_Rarely"/>
    <x v="2"/>
    <s v="Current Employees"/>
    <x v="0"/>
    <x v="0"/>
    <s v="STAFF-1560"/>
    <x v="1238"/>
    <x v="1"/>
    <x v="0"/>
    <x v="1"/>
    <s v="No"/>
    <s v="Y"/>
    <n v="6"/>
    <n v="-2"/>
    <n v="0"/>
    <x v="3"/>
    <n v="0"/>
    <m/>
    <n v="0"/>
    <n v="1"/>
    <n v="1242"/>
    <n v="8"/>
    <x v="2"/>
    <n v="1"/>
    <n v="1"/>
    <n v="46"/>
    <n v="3"/>
    <n v="2"/>
    <n v="1"/>
    <n v="6392"/>
    <n v="10589"/>
    <n v="2"/>
    <n v="13"/>
    <n v="3"/>
    <n v="4"/>
    <n v="80"/>
    <n v="1"/>
    <n v="8"/>
    <n v="1"/>
    <n v="2"/>
    <n v="2"/>
    <n v="2"/>
    <n v="2"/>
  </r>
  <r>
    <s v="No"/>
    <s v="Travel_Rarely"/>
    <x v="2"/>
    <s v="Current Employees"/>
    <x v="0"/>
    <x v="0"/>
    <s v="STAFF-1996"/>
    <x v="1239"/>
    <x v="1"/>
    <x v="6"/>
    <x v="1"/>
    <s v="No"/>
    <s v="Y"/>
    <n v="1"/>
    <n v="-2"/>
    <n v="0"/>
    <x v="12"/>
    <n v="0"/>
    <m/>
    <n v="0"/>
    <n v="1"/>
    <n v="1154"/>
    <n v="2"/>
    <x v="0"/>
    <n v="1"/>
    <n v="1"/>
    <n v="54"/>
    <n v="3"/>
    <n v="1"/>
    <n v="3"/>
    <n v="3067"/>
    <n v="6393"/>
    <n v="0"/>
    <n v="19"/>
    <n v="3"/>
    <n v="3"/>
    <n v="80"/>
    <n v="1"/>
    <n v="3"/>
    <n v="3"/>
    <n v="2"/>
    <n v="2"/>
    <n v="1"/>
    <n v="2"/>
  </r>
  <r>
    <s v="No"/>
    <s v="Travel_Rarely"/>
    <x v="2"/>
    <s v="Current Employees"/>
    <x v="0"/>
    <x v="4"/>
    <s v="STAFF-1749"/>
    <x v="1240"/>
    <x v="1"/>
    <x v="0"/>
    <x v="1"/>
    <s v="No"/>
    <s v="Y"/>
    <n v="3"/>
    <n v="-2"/>
    <n v="0"/>
    <x v="12"/>
    <n v="0"/>
    <m/>
    <n v="0"/>
    <n v="1"/>
    <n v="1003"/>
    <n v="5"/>
    <x v="3"/>
    <n v="1"/>
    <n v="4"/>
    <n v="51"/>
    <n v="3"/>
    <n v="2"/>
    <n v="4"/>
    <n v="8346"/>
    <n v="20943"/>
    <n v="1"/>
    <n v="19"/>
    <n v="3"/>
    <n v="3"/>
    <n v="80"/>
    <n v="1"/>
    <n v="6"/>
    <n v="3"/>
    <n v="5"/>
    <n v="2"/>
    <n v="0"/>
    <n v="2"/>
  </r>
  <r>
    <s v="No"/>
    <s v="Travel_Rarely"/>
    <x v="2"/>
    <s v="Current Employees"/>
    <x v="0"/>
    <x v="2"/>
    <s v="STAFF-2013"/>
    <x v="1241"/>
    <x v="1"/>
    <x v="6"/>
    <x v="1"/>
    <s v="No"/>
    <s v="Y"/>
    <n v="2"/>
    <n v="-2"/>
    <n v="0"/>
    <x v="5"/>
    <n v="0"/>
    <m/>
    <n v="0"/>
    <n v="1"/>
    <n v="234"/>
    <n v="1"/>
    <x v="2"/>
    <n v="1"/>
    <n v="2"/>
    <n v="68"/>
    <n v="2"/>
    <n v="1"/>
    <n v="2"/>
    <n v="2269"/>
    <n v="18024"/>
    <n v="0"/>
    <n v="14"/>
    <n v="3"/>
    <n v="2"/>
    <n v="80"/>
    <n v="1"/>
    <n v="3"/>
    <n v="3"/>
    <n v="2"/>
    <n v="2"/>
    <n v="2"/>
    <n v="2"/>
  </r>
  <r>
    <s v="No"/>
    <s v="Travel_Rarely"/>
    <x v="0"/>
    <s v="Current Employees"/>
    <x v="0"/>
    <x v="2"/>
    <s v="STAFF-1945"/>
    <x v="1242"/>
    <x v="1"/>
    <x v="0"/>
    <x v="1"/>
    <s v="No"/>
    <s v="Y"/>
    <n v="2"/>
    <n v="-2"/>
    <n v="0"/>
    <x v="10"/>
    <n v="0"/>
    <m/>
    <n v="0"/>
    <n v="1"/>
    <n v="682"/>
    <n v="18"/>
    <x v="2"/>
    <n v="1"/>
    <n v="2"/>
    <n v="71"/>
    <n v="3"/>
    <n v="2"/>
    <n v="1"/>
    <n v="5561"/>
    <n v="15975"/>
    <n v="0"/>
    <n v="16"/>
    <n v="3"/>
    <n v="4"/>
    <n v="80"/>
    <n v="1"/>
    <n v="6"/>
    <n v="1"/>
    <n v="5"/>
    <n v="3"/>
    <n v="0"/>
    <n v="4"/>
  </r>
  <r>
    <s v="No"/>
    <s v="Travel_Rarely"/>
    <x v="2"/>
    <s v="Current Employees"/>
    <x v="0"/>
    <x v="4"/>
    <s v="STAFF-1568"/>
    <x v="1243"/>
    <x v="1"/>
    <x v="0"/>
    <x v="1"/>
    <s v="No"/>
    <s v="Y"/>
    <n v="3"/>
    <n v="-2"/>
    <n v="0"/>
    <x v="7"/>
    <n v="0"/>
    <m/>
    <n v="0"/>
    <n v="1"/>
    <n v="1288"/>
    <n v="29"/>
    <x v="2"/>
    <n v="1"/>
    <n v="4"/>
    <n v="33"/>
    <n v="3"/>
    <n v="3"/>
    <n v="4"/>
    <n v="9250"/>
    <n v="17799"/>
    <n v="3"/>
    <n v="12"/>
    <n v="3"/>
    <n v="2"/>
    <n v="80"/>
    <n v="1"/>
    <n v="9"/>
    <n v="3"/>
    <n v="4"/>
    <n v="2"/>
    <n v="1"/>
    <n v="3"/>
  </r>
  <r>
    <s v="No"/>
    <s v="Travel_Rarely"/>
    <x v="0"/>
    <s v="Current Employees"/>
    <x v="0"/>
    <x v="0"/>
    <s v="STAFF-1582"/>
    <x v="1244"/>
    <x v="1"/>
    <x v="0"/>
    <x v="1"/>
    <s v="No"/>
    <s v="Y"/>
    <n v="3"/>
    <n v="-2"/>
    <n v="0"/>
    <x v="8"/>
    <n v="0"/>
    <m/>
    <n v="0"/>
    <n v="1"/>
    <n v="1245"/>
    <n v="14"/>
    <x v="3"/>
    <n v="1"/>
    <n v="3"/>
    <n v="80"/>
    <n v="3"/>
    <n v="2"/>
    <n v="2"/>
    <n v="9924"/>
    <n v="12355"/>
    <n v="0"/>
    <n v="11"/>
    <n v="3"/>
    <n v="4"/>
    <n v="80"/>
    <n v="1"/>
    <n v="10"/>
    <n v="3"/>
    <n v="9"/>
    <n v="8"/>
    <n v="7"/>
    <n v="7"/>
  </r>
  <r>
    <s v="No"/>
    <s v="Travel_Rarely"/>
    <x v="2"/>
    <s v="Current Employees"/>
    <x v="0"/>
    <x v="0"/>
    <s v="STAFF-1739"/>
    <x v="1245"/>
    <x v="1"/>
    <x v="0"/>
    <x v="1"/>
    <s v="No"/>
    <s v="Y"/>
    <n v="2"/>
    <n v="-2"/>
    <n v="0"/>
    <x v="5"/>
    <n v="0"/>
    <m/>
    <n v="0"/>
    <n v="1"/>
    <n v="371"/>
    <n v="19"/>
    <x v="3"/>
    <n v="1"/>
    <n v="4"/>
    <n v="80"/>
    <n v="1"/>
    <n v="3"/>
    <n v="3"/>
    <n v="9610"/>
    <n v="3840"/>
    <n v="3"/>
    <n v="13"/>
    <n v="3"/>
    <n v="3"/>
    <n v="80"/>
    <n v="1"/>
    <n v="10"/>
    <n v="1"/>
    <n v="4"/>
    <n v="3"/>
    <n v="0"/>
    <n v="2"/>
  </r>
  <r>
    <s v="No"/>
    <s v="Travel_Rarely"/>
    <x v="0"/>
    <s v="Current Employees"/>
    <x v="0"/>
    <x v="0"/>
    <s v="STAFF-1492"/>
    <x v="1246"/>
    <x v="1"/>
    <x v="6"/>
    <x v="1"/>
    <s v="No"/>
    <s v="Y"/>
    <n v="3"/>
    <n v="-2"/>
    <n v="0"/>
    <x v="10"/>
    <n v="0"/>
    <m/>
    <n v="0"/>
    <n v="1"/>
    <n v="660"/>
    <n v="7"/>
    <x v="1"/>
    <n v="1"/>
    <n v="4"/>
    <n v="76"/>
    <n v="3"/>
    <n v="1"/>
    <n v="3"/>
    <n v="2404"/>
    <n v="16192"/>
    <n v="1"/>
    <n v="13"/>
    <n v="3"/>
    <n v="1"/>
    <n v="80"/>
    <n v="1"/>
    <n v="1"/>
    <n v="3"/>
    <n v="1"/>
    <n v="0"/>
    <n v="0"/>
    <n v="0"/>
  </r>
  <r>
    <s v="No"/>
    <s v="Travel_Rarely"/>
    <x v="2"/>
    <s v="Current Employees"/>
    <x v="0"/>
    <x v="3"/>
    <s v="STAFF-1446"/>
    <x v="1247"/>
    <x v="1"/>
    <x v="0"/>
    <x v="1"/>
    <s v="No"/>
    <s v="Y"/>
    <n v="3"/>
    <n v="-2"/>
    <n v="0"/>
    <x v="5"/>
    <n v="0"/>
    <m/>
    <n v="0"/>
    <n v="1"/>
    <n v="601"/>
    <n v="7"/>
    <x v="4"/>
    <n v="1"/>
    <n v="4"/>
    <n v="97"/>
    <n v="3"/>
    <n v="2"/>
    <n v="2"/>
    <n v="9204"/>
    <n v="23343"/>
    <n v="4"/>
    <n v="12"/>
    <n v="3"/>
    <n v="3"/>
    <n v="80"/>
    <n v="1"/>
    <n v="7"/>
    <n v="2"/>
    <n v="4"/>
    <n v="3"/>
    <n v="0"/>
    <n v="3"/>
  </r>
  <r>
    <s v="No"/>
    <s v="Travel_Rarely"/>
    <x v="0"/>
    <s v="Current Employees"/>
    <x v="0"/>
    <x v="2"/>
    <s v="STAFF-1588"/>
    <x v="1248"/>
    <x v="1"/>
    <x v="0"/>
    <x v="1"/>
    <s v="No"/>
    <s v="Y"/>
    <n v="3"/>
    <n v="-2"/>
    <n v="0"/>
    <x v="22"/>
    <n v="0"/>
    <m/>
    <n v="0"/>
    <n v="1"/>
    <n v="1462"/>
    <n v="6"/>
    <x v="3"/>
    <n v="1"/>
    <n v="4"/>
    <n v="38"/>
    <n v="4"/>
    <n v="3"/>
    <n v="3"/>
    <n v="8237"/>
    <n v="4658"/>
    <n v="2"/>
    <n v="11"/>
    <n v="3"/>
    <n v="1"/>
    <n v="80"/>
    <n v="1"/>
    <n v="11"/>
    <n v="3"/>
    <n v="7"/>
    <n v="6"/>
    <n v="7"/>
    <n v="6"/>
  </r>
  <r>
    <s v="No"/>
    <s v="Travel_Rarely"/>
    <x v="0"/>
    <s v="Current Employees"/>
    <x v="0"/>
    <x v="3"/>
    <s v="STAFF-1787"/>
    <x v="1249"/>
    <x v="1"/>
    <x v="0"/>
    <x v="1"/>
    <s v="No"/>
    <s v="Y"/>
    <n v="2"/>
    <n v="-2"/>
    <n v="0"/>
    <x v="2"/>
    <n v="0"/>
    <m/>
    <n v="0"/>
    <n v="1"/>
    <n v="589"/>
    <n v="9"/>
    <x v="0"/>
    <n v="1"/>
    <n v="2"/>
    <n v="46"/>
    <n v="2"/>
    <n v="2"/>
    <n v="2"/>
    <n v="4189"/>
    <n v="8800"/>
    <n v="1"/>
    <n v="14"/>
    <n v="3"/>
    <n v="1"/>
    <n v="80"/>
    <n v="2"/>
    <n v="5"/>
    <n v="3"/>
    <n v="5"/>
    <n v="2"/>
    <n v="0"/>
    <n v="3"/>
  </r>
  <r>
    <s v="No"/>
    <s v="Travel_Rarely"/>
    <x v="0"/>
    <s v="Current Employees"/>
    <x v="0"/>
    <x v="3"/>
    <s v="STAFF-1908"/>
    <x v="1250"/>
    <x v="1"/>
    <x v="0"/>
    <x v="1"/>
    <s v="No"/>
    <s v="Y"/>
    <n v="1"/>
    <n v="-2"/>
    <n v="0"/>
    <x v="9"/>
    <n v="0"/>
    <m/>
    <n v="0"/>
    <n v="1"/>
    <n v="335"/>
    <n v="17"/>
    <x v="0"/>
    <n v="1"/>
    <n v="3"/>
    <n v="33"/>
    <n v="2"/>
    <n v="2"/>
    <n v="2"/>
    <n v="5507"/>
    <n v="16822"/>
    <n v="2"/>
    <n v="16"/>
    <n v="3"/>
    <n v="3"/>
    <n v="80"/>
    <n v="2"/>
    <n v="12"/>
    <n v="1"/>
    <n v="4"/>
    <n v="2"/>
    <n v="1"/>
    <n v="3"/>
  </r>
  <r>
    <s v="No"/>
    <s v="Travel_Rarely"/>
    <x v="0"/>
    <s v="Current Employees"/>
    <x v="0"/>
    <x v="0"/>
    <s v="STAFF-1995"/>
    <x v="1251"/>
    <x v="1"/>
    <x v="0"/>
    <x v="1"/>
    <s v="No"/>
    <s v="Y"/>
    <n v="3"/>
    <n v="-2"/>
    <n v="0"/>
    <x v="8"/>
    <n v="0"/>
    <m/>
    <n v="0"/>
    <n v="1"/>
    <n v="1321"/>
    <n v="1"/>
    <x v="2"/>
    <n v="1"/>
    <n v="4"/>
    <n v="86"/>
    <n v="3"/>
    <n v="2"/>
    <n v="2"/>
    <n v="4440"/>
    <n v="7636"/>
    <n v="0"/>
    <n v="15"/>
    <n v="3"/>
    <n v="1"/>
    <n v="80"/>
    <n v="2"/>
    <n v="16"/>
    <n v="3"/>
    <n v="15"/>
    <n v="13"/>
    <n v="5"/>
    <n v="8"/>
  </r>
  <r>
    <s v="No"/>
    <s v="Travel_Rarely"/>
    <x v="2"/>
    <s v="Current Employees"/>
    <x v="0"/>
    <x v="0"/>
    <s v="STAFF-1479"/>
    <x v="1252"/>
    <x v="1"/>
    <x v="0"/>
    <x v="1"/>
    <s v="No"/>
    <s v="Y"/>
    <n v="2"/>
    <n v="-2"/>
    <n v="0"/>
    <x v="7"/>
    <n v="0"/>
    <m/>
    <n v="0"/>
    <n v="1"/>
    <n v="1358"/>
    <n v="16"/>
    <x v="1"/>
    <n v="1"/>
    <n v="4"/>
    <n v="96"/>
    <n v="3"/>
    <n v="2"/>
    <n v="3"/>
    <n v="5301"/>
    <n v="2939"/>
    <n v="8"/>
    <n v="15"/>
    <n v="3"/>
    <n v="3"/>
    <n v="80"/>
    <n v="2"/>
    <n v="4"/>
    <n v="2"/>
    <n v="2"/>
    <n v="1"/>
    <n v="2"/>
    <n v="2"/>
  </r>
  <r>
    <s v="No"/>
    <s v="Travel_Rarely"/>
    <x v="0"/>
    <s v="Current Employees"/>
    <x v="0"/>
    <x v="0"/>
    <s v="STAFF-1961"/>
    <x v="1253"/>
    <x v="1"/>
    <x v="6"/>
    <x v="0"/>
    <s v="No"/>
    <s v="Y"/>
    <n v="3"/>
    <n v="-2"/>
    <n v="0"/>
    <x v="8"/>
    <n v="0"/>
    <m/>
    <n v="0"/>
    <n v="1"/>
    <n v="1404"/>
    <n v="1"/>
    <x v="3"/>
    <n v="1"/>
    <n v="1"/>
    <n v="59"/>
    <n v="2"/>
    <n v="1"/>
    <n v="1"/>
    <n v="2858"/>
    <n v="11473"/>
    <n v="4"/>
    <n v="14"/>
    <n v="3"/>
    <n v="1"/>
    <n v="80"/>
    <n v="0"/>
    <n v="20"/>
    <n v="2"/>
    <n v="1"/>
    <n v="0"/>
    <n v="0"/>
    <n v="0"/>
  </r>
  <r>
    <s v="No"/>
    <s v="Travel_Rarely"/>
    <x v="0"/>
    <s v="Current Employees"/>
    <x v="0"/>
    <x v="3"/>
    <s v="STAFF-1975"/>
    <x v="1254"/>
    <x v="1"/>
    <x v="0"/>
    <x v="0"/>
    <s v="No"/>
    <s v="Y"/>
    <n v="3"/>
    <n v="-2"/>
    <n v="0"/>
    <x v="22"/>
    <n v="0"/>
    <m/>
    <n v="0"/>
    <n v="1"/>
    <n v="119"/>
    <n v="15"/>
    <x v="2"/>
    <n v="1"/>
    <n v="2"/>
    <n v="77"/>
    <n v="3"/>
    <n v="4"/>
    <n v="1"/>
    <n v="13341"/>
    <n v="25098"/>
    <n v="0"/>
    <n v="12"/>
    <n v="3"/>
    <n v="1"/>
    <n v="80"/>
    <n v="0"/>
    <n v="21"/>
    <n v="3"/>
    <n v="20"/>
    <n v="8"/>
    <n v="11"/>
    <n v="10"/>
  </r>
  <r>
    <s v="No"/>
    <s v="Travel_Rarely"/>
    <x v="0"/>
    <s v="Current Employees"/>
    <x v="0"/>
    <x v="2"/>
    <s v="STAFF-1740"/>
    <x v="1255"/>
    <x v="1"/>
    <x v="5"/>
    <x v="0"/>
    <s v="No"/>
    <s v="Y"/>
    <n v="3"/>
    <n v="-2"/>
    <n v="0"/>
    <x v="32"/>
    <n v="0"/>
    <m/>
    <n v="0"/>
    <n v="1"/>
    <n v="611"/>
    <n v="7"/>
    <x v="2"/>
    <n v="1"/>
    <n v="2"/>
    <n v="88"/>
    <n v="3"/>
    <n v="5"/>
    <n v="2"/>
    <n v="19833"/>
    <n v="4349"/>
    <n v="1"/>
    <n v="14"/>
    <n v="3"/>
    <n v="2"/>
    <n v="80"/>
    <n v="0"/>
    <n v="21"/>
    <n v="2"/>
    <n v="21"/>
    <n v="8"/>
    <n v="12"/>
    <n v="8"/>
  </r>
  <r>
    <s v="No"/>
    <s v="Travel_Rarely"/>
    <x v="2"/>
    <s v="Current Employees"/>
    <x v="0"/>
    <x v="3"/>
    <s v="STAFF-1924"/>
    <x v="1256"/>
    <x v="1"/>
    <x v="0"/>
    <x v="0"/>
    <s v="No"/>
    <s v="Y"/>
    <n v="2"/>
    <n v="-2"/>
    <n v="0"/>
    <x v="3"/>
    <n v="0"/>
    <m/>
    <n v="0"/>
    <n v="1"/>
    <n v="217"/>
    <n v="10"/>
    <x v="2"/>
    <n v="1"/>
    <n v="2"/>
    <n v="43"/>
    <n v="3"/>
    <n v="2"/>
    <n v="1"/>
    <n v="5487"/>
    <n v="10410"/>
    <n v="1"/>
    <n v="14"/>
    <n v="3"/>
    <n v="2"/>
    <n v="80"/>
    <n v="0"/>
    <n v="10"/>
    <n v="2"/>
    <n v="10"/>
    <n v="4"/>
    <n v="0"/>
    <n v="9"/>
  </r>
  <r>
    <s v="No"/>
    <s v="Travel_Rarely"/>
    <x v="2"/>
    <s v="Current Employees"/>
    <x v="0"/>
    <x v="2"/>
    <s v="STAFF-1650"/>
    <x v="1257"/>
    <x v="1"/>
    <x v="0"/>
    <x v="0"/>
    <s v="No"/>
    <s v="Y"/>
    <n v="2"/>
    <n v="-2"/>
    <n v="0"/>
    <x v="11"/>
    <n v="0"/>
    <m/>
    <n v="0"/>
    <n v="1"/>
    <n v="469"/>
    <n v="10"/>
    <x v="3"/>
    <n v="1"/>
    <n v="3"/>
    <n v="42"/>
    <n v="2"/>
    <n v="2"/>
    <n v="3"/>
    <n v="5869"/>
    <n v="23413"/>
    <n v="9"/>
    <n v="11"/>
    <n v="3"/>
    <n v="3"/>
    <n v="80"/>
    <n v="0"/>
    <n v="8"/>
    <n v="3"/>
    <n v="5"/>
    <n v="2"/>
    <n v="1"/>
    <n v="4"/>
  </r>
  <r>
    <s v="No"/>
    <s v="Travel_Rarely"/>
    <x v="2"/>
    <s v="Current Employees"/>
    <x v="0"/>
    <x v="2"/>
    <s v="STAFF-1836"/>
    <x v="1258"/>
    <x v="1"/>
    <x v="0"/>
    <x v="0"/>
    <s v="No"/>
    <s v="Y"/>
    <n v="4"/>
    <n v="-2"/>
    <n v="0"/>
    <x v="25"/>
    <n v="0"/>
    <m/>
    <n v="0"/>
    <n v="1"/>
    <n v="572"/>
    <n v="10"/>
    <x v="3"/>
    <n v="1"/>
    <n v="3"/>
    <n v="46"/>
    <n v="3"/>
    <n v="2"/>
    <n v="4"/>
    <n v="4684"/>
    <n v="9125"/>
    <n v="1"/>
    <n v="13"/>
    <n v="3"/>
    <n v="1"/>
    <n v="80"/>
    <n v="0"/>
    <n v="5"/>
    <n v="3"/>
    <n v="5"/>
    <n v="3"/>
    <n v="1"/>
    <n v="2"/>
  </r>
  <r>
    <s v="No"/>
    <s v="Travel_Rarely"/>
    <x v="2"/>
    <s v="Current Employees"/>
    <x v="0"/>
    <x v="1"/>
    <s v="STAFF-1478"/>
    <x v="1259"/>
    <x v="1"/>
    <x v="0"/>
    <x v="0"/>
    <s v="No"/>
    <s v="Y"/>
    <n v="2"/>
    <n v="-2"/>
    <n v="0"/>
    <x v="13"/>
    <n v="0"/>
    <m/>
    <n v="0"/>
    <n v="1"/>
    <n v="1326"/>
    <n v="3"/>
    <x v="3"/>
    <n v="1"/>
    <n v="4"/>
    <n v="81"/>
    <n v="1"/>
    <n v="2"/>
    <n v="1"/>
    <n v="4759"/>
    <n v="15891"/>
    <n v="3"/>
    <n v="18"/>
    <n v="3"/>
    <n v="4"/>
    <n v="80"/>
    <n v="0"/>
    <n v="15"/>
    <n v="3"/>
    <n v="13"/>
    <n v="9"/>
    <n v="3"/>
    <n v="12"/>
  </r>
  <r>
    <s v="No"/>
    <s v="Travel_Rarely"/>
    <x v="4"/>
    <s v="Current Employees"/>
    <x v="0"/>
    <x v="0"/>
    <s v="STAFF-1680"/>
    <x v="1260"/>
    <x v="1"/>
    <x v="6"/>
    <x v="0"/>
    <s v="No"/>
    <s v="Y"/>
    <n v="3"/>
    <n v="-2"/>
    <n v="0"/>
    <x v="35"/>
    <n v="0"/>
    <m/>
    <n v="0"/>
    <n v="1"/>
    <n v="727"/>
    <n v="9"/>
    <x v="1"/>
    <n v="1"/>
    <n v="4"/>
    <n v="54"/>
    <n v="3"/>
    <n v="1"/>
    <n v="1"/>
    <n v="2728"/>
    <n v="21082"/>
    <n v="1"/>
    <n v="11"/>
    <n v="3"/>
    <n v="1"/>
    <n v="80"/>
    <n v="0"/>
    <n v="2"/>
    <n v="3"/>
    <n v="2"/>
    <n v="2"/>
    <n v="0"/>
    <n v="2"/>
  </r>
  <r>
    <s v="No"/>
    <s v="Travel_Rarely"/>
    <x v="2"/>
    <s v="Current Employees"/>
    <x v="0"/>
    <x v="2"/>
    <s v="STAFF-1469"/>
    <x v="1261"/>
    <x v="1"/>
    <x v="0"/>
    <x v="0"/>
    <s v="No"/>
    <s v="Y"/>
    <n v="4"/>
    <n v="-2"/>
    <n v="0"/>
    <x v="14"/>
    <n v="0"/>
    <m/>
    <n v="0"/>
    <n v="1"/>
    <n v="866"/>
    <n v="5"/>
    <x v="3"/>
    <n v="1"/>
    <n v="4"/>
    <n v="84"/>
    <n v="3"/>
    <n v="2"/>
    <n v="1"/>
    <n v="8463"/>
    <n v="23490"/>
    <n v="0"/>
    <n v="18"/>
    <n v="3"/>
    <n v="4"/>
    <n v="80"/>
    <n v="0"/>
    <n v="6"/>
    <n v="3"/>
    <n v="5"/>
    <n v="4"/>
    <n v="1"/>
    <n v="3"/>
  </r>
  <r>
    <s v="No"/>
    <s v="Travel_Rarely"/>
    <x v="0"/>
    <s v="Current Employees"/>
    <x v="0"/>
    <x v="3"/>
    <s v="STAFF-1708"/>
    <x v="1262"/>
    <x v="1"/>
    <x v="0"/>
    <x v="0"/>
    <s v="No"/>
    <s v="Y"/>
    <n v="3"/>
    <n v="-2"/>
    <n v="0"/>
    <x v="0"/>
    <n v="0"/>
    <m/>
    <n v="0"/>
    <n v="1"/>
    <n v="918"/>
    <n v="6"/>
    <x v="3"/>
    <n v="1"/>
    <n v="4"/>
    <n v="35"/>
    <n v="3"/>
    <n v="3"/>
    <n v="1"/>
    <n v="9241"/>
    <n v="15869"/>
    <n v="1"/>
    <n v="12"/>
    <n v="3"/>
    <n v="2"/>
    <n v="80"/>
    <n v="0"/>
    <n v="10"/>
    <n v="3"/>
    <n v="10"/>
    <n v="8"/>
    <n v="8"/>
    <n v="7"/>
  </r>
  <r>
    <s v="No"/>
    <s v="Travel_Rarely"/>
    <x v="2"/>
    <s v="Current Employees"/>
    <x v="0"/>
    <x v="3"/>
    <s v="STAFF-1965"/>
    <x v="1263"/>
    <x v="1"/>
    <x v="0"/>
    <x v="0"/>
    <s v="No"/>
    <s v="Y"/>
    <n v="5"/>
    <n v="-2"/>
    <n v="0"/>
    <x v="4"/>
    <n v="0"/>
    <m/>
    <n v="0"/>
    <n v="1"/>
    <n v="954"/>
    <n v="9"/>
    <x v="3"/>
    <n v="1"/>
    <n v="4"/>
    <n v="44"/>
    <n v="3"/>
    <n v="2"/>
    <n v="1"/>
    <n v="4105"/>
    <n v="5099"/>
    <n v="1"/>
    <n v="14"/>
    <n v="3"/>
    <n v="1"/>
    <n v="80"/>
    <n v="0"/>
    <n v="7"/>
    <n v="3"/>
    <n v="7"/>
    <n v="7"/>
    <n v="0"/>
    <n v="7"/>
  </r>
  <r>
    <s v="No"/>
    <s v="Travel_Rarely"/>
    <x v="1"/>
    <s v="Current Employees"/>
    <x v="0"/>
    <x v="0"/>
    <s v="STAFF-1602"/>
    <x v="1264"/>
    <x v="1"/>
    <x v="5"/>
    <x v="0"/>
    <s v="No"/>
    <s v="Y"/>
    <n v="5"/>
    <n v="-2"/>
    <n v="0"/>
    <x v="21"/>
    <n v="0"/>
    <m/>
    <n v="0"/>
    <n v="1"/>
    <n v="563"/>
    <n v="1"/>
    <x v="2"/>
    <n v="1"/>
    <n v="4"/>
    <n v="56"/>
    <n v="4"/>
    <n v="4"/>
    <n v="1"/>
    <n v="17567"/>
    <n v="3156"/>
    <n v="1"/>
    <n v="15"/>
    <n v="3"/>
    <n v="2"/>
    <n v="80"/>
    <n v="0"/>
    <n v="27"/>
    <n v="1"/>
    <n v="26"/>
    <n v="0"/>
    <n v="0"/>
    <n v="12"/>
  </r>
  <r>
    <s v="No"/>
    <s v="Non-Travel"/>
    <x v="4"/>
    <s v="Current Employees"/>
    <x v="1"/>
    <x v="1"/>
    <s v="STAFF-1605"/>
    <x v="1265"/>
    <x v="0"/>
    <x v="1"/>
    <x v="1"/>
    <s v="Yes"/>
    <s v="Y"/>
    <n v="2"/>
    <n v="-2"/>
    <n v="0"/>
    <x v="15"/>
    <n v="0"/>
    <m/>
    <n v="0"/>
    <n v="1"/>
    <n v="457"/>
    <n v="26"/>
    <x v="0"/>
    <n v="1"/>
    <n v="2"/>
    <n v="85"/>
    <n v="2"/>
    <n v="1"/>
    <n v="3"/>
    <n v="2814"/>
    <n v="10293"/>
    <n v="1"/>
    <n v="14"/>
    <n v="3"/>
    <n v="2"/>
    <n v="80"/>
    <n v="0"/>
    <n v="4"/>
    <n v="2"/>
    <n v="4"/>
    <n v="2"/>
    <n v="1"/>
    <n v="3"/>
  </r>
  <r>
    <s v="No"/>
    <s v="Travel_Frequently"/>
    <x v="0"/>
    <s v="Current Employees"/>
    <x v="1"/>
    <x v="2"/>
    <s v="STAFF-1937"/>
    <x v="1266"/>
    <x v="0"/>
    <x v="1"/>
    <x v="2"/>
    <s v="Yes"/>
    <s v="Y"/>
    <n v="3"/>
    <n v="-2"/>
    <n v="0"/>
    <x v="8"/>
    <n v="0"/>
    <m/>
    <n v="0"/>
    <n v="1"/>
    <n v="1394"/>
    <n v="8"/>
    <x v="3"/>
    <n v="1"/>
    <n v="4"/>
    <n v="58"/>
    <n v="2"/>
    <n v="2"/>
    <n v="2"/>
    <n v="2133"/>
    <n v="18115"/>
    <n v="1"/>
    <n v="16"/>
    <n v="3"/>
    <n v="3"/>
    <n v="80"/>
    <n v="1"/>
    <n v="20"/>
    <n v="3"/>
    <n v="20"/>
    <n v="11"/>
    <n v="0"/>
    <n v="7"/>
  </r>
  <r>
    <s v="No"/>
    <s v="Travel_Frequently"/>
    <x v="4"/>
    <s v="Current Employees"/>
    <x v="1"/>
    <x v="4"/>
    <s v="STAFF-1646"/>
    <x v="1267"/>
    <x v="0"/>
    <x v="1"/>
    <x v="0"/>
    <s v="Yes"/>
    <s v="Y"/>
    <n v="2"/>
    <n v="-2"/>
    <n v="0"/>
    <x v="17"/>
    <n v="0"/>
    <m/>
    <n v="0"/>
    <n v="1"/>
    <n v="567"/>
    <n v="2"/>
    <x v="1"/>
    <n v="1"/>
    <n v="4"/>
    <n v="32"/>
    <n v="3"/>
    <n v="1"/>
    <n v="4"/>
    <n v="3760"/>
    <n v="17218"/>
    <n v="1"/>
    <n v="13"/>
    <n v="3"/>
    <n v="3"/>
    <n v="80"/>
    <n v="0"/>
    <n v="6"/>
    <n v="3"/>
    <n v="6"/>
    <n v="3"/>
    <n v="1"/>
    <n v="3"/>
  </r>
  <r>
    <s v="No"/>
    <s v="Travel_Frequently"/>
    <x v="2"/>
    <s v="Current Employees"/>
    <x v="1"/>
    <x v="0"/>
    <s v="STAFF-1850"/>
    <x v="1268"/>
    <x v="0"/>
    <x v="2"/>
    <x v="0"/>
    <s v="Yes"/>
    <s v="Y"/>
    <n v="3"/>
    <n v="-2"/>
    <n v="0"/>
    <x v="4"/>
    <n v="0"/>
    <m/>
    <n v="0"/>
    <n v="1"/>
    <n v="1297"/>
    <n v="5"/>
    <x v="0"/>
    <n v="1"/>
    <n v="4"/>
    <n v="53"/>
    <n v="3"/>
    <n v="1"/>
    <n v="4"/>
    <n v="2379"/>
    <n v="19826"/>
    <n v="0"/>
    <n v="14"/>
    <n v="3"/>
    <n v="3"/>
    <n v="80"/>
    <n v="0"/>
    <n v="6"/>
    <n v="2"/>
    <n v="5"/>
    <n v="4"/>
    <n v="0"/>
    <n v="2"/>
  </r>
  <r>
    <s v="No"/>
    <s v="Travel_Rarely"/>
    <x v="0"/>
    <s v="Current Employees"/>
    <x v="2"/>
    <x v="0"/>
    <s v="STAFF-1683"/>
    <x v="1269"/>
    <x v="0"/>
    <x v="8"/>
    <x v="2"/>
    <s v="Yes"/>
    <s v="Y"/>
    <n v="2"/>
    <n v="-2"/>
    <n v="0"/>
    <x v="20"/>
    <n v="0"/>
    <m/>
    <n v="0"/>
    <n v="1"/>
    <n v="528"/>
    <n v="1"/>
    <x v="3"/>
    <n v="1"/>
    <n v="3"/>
    <n v="44"/>
    <n v="3"/>
    <n v="1"/>
    <n v="4"/>
    <n v="3195"/>
    <n v="4167"/>
    <n v="4"/>
    <n v="18"/>
    <n v="3"/>
    <n v="1"/>
    <n v="80"/>
    <n v="3"/>
    <n v="8"/>
    <n v="3"/>
    <n v="2"/>
    <n v="2"/>
    <n v="2"/>
    <n v="2"/>
  </r>
  <r>
    <s v="No"/>
    <s v="Travel_Rarely"/>
    <x v="0"/>
    <s v="Current Employees"/>
    <x v="2"/>
    <x v="0"/>
    <s v="STAFF-2040"/>
    <x v="1270"/>
    <x v="0"/>
    <x v="8"/>
    <x v="0"/>
    <s v="Yes"/>
    <s v="Y"/>
    <n v="2"/>
    <n v="-2"/>
    <n v="0"/>
    <x v="10"/>
    <n v="0"/>
    <m/>
    <n v="0"/>
    <n v="1"/>
    <n v="1146"/>
    <n v="26"/>
    <x v="2"/>
    <n v="1"/>
    <n v="3"/>
    <n v="31"/>
    <n v="3"/>
    <n v="3"/>
    <n v="4"/>
    <n v="8837"/>
    <n v="16642"/>
    <n v="1"/>
    <n v="16"/>
    <n v="3"/>
    <n v="3"/>
    <n v="80"/>
    <n v="0"/>
    <n v="9"/>
    <n v="3"/>
    <n v="9"/>
    <n v="0"/>
    <n v="1"/>
    <n v="7"/>
  </r>
  <r>
    <s v="No"/>
    <s v="Travel_Rarely"/>
    <x v="0"/>
    <s v="Current Employees"/>
    <x v="1"/>
    <x v="2"/>
    <s v="STAFF-1608"/>
    <x v="1271"/>
    <x v="0"/>
    <x v="7"/>
    <x v="2"/>
    <s v="Yes"/>
    <s v="Y"/>
    <n v="4"/>
    <n v="-2"/>
    <n v="0"/>
    <x v="20"/>
    <n v="0"/>
    <m/>
    <n v="0"/>
    <n v="1"/>
    <n v="1313"/>
    <n v="7"/>
    <x v="3"/>
    <n v="1"/>
    <n v="2"/>
    <n v="31"/>
    <n v="3"/>
    <n v="5"/>
    <n v="4"/>
    <n v="19049"/>
    <n v="3549"/>
    <n v="0"/>
    <n v="14"/>
    <n v="3"/>
    <n v="4"/>
    <n v="80"/>
    <n v="1"/>
    <n v="23"/>
    <n v="2"/>
    <n v="22"/>
    <n v="7"/>
    <n v="1"/>
    <n v="10"/>
  </r>
  <r>
    <s v="No"/>
    <s v="Travel_Rarely"/>
    <x v="1"/>
    <s v="Current Employees"/>
    <x v="1"/>
    <x v="0"/>
    <s v="STAFF-1827"/>
    <x v="1272"/>
    <x v="0"/>
    <x v="3"/>
    <x v="2"/>
    <s v="Yes"/>
    <s v="Y"/>
    <n v="4"/>
    <n v="-2"/>
    <n v="0"/>
    <x v="40"/>
    <n v="0"/>
    <m/>
    <n v="0"/>
    <n v="1"/>
    <n v="1001"/>
    <n v="4"/>
    <x v="3"/>
    <n v="1"/>
    <n v="3"/>
    <n v="92"/>
    <n v="2"/>
    <n v="3"/>
    <n v="2"/>
    <n v="10333"/>
    <n v="19271"/>
    <n v="8"/>
    <n v="12"/>
    <n v="3"/>
    <n v="3"/>
    <n v="80"/>
    <n v="1"/>
    <n v="28"/>
    <n v="3"/>
    <n v="22"/>
    <n v="11"/>
    <n v="14"/>
    <n v="10"/>
  </r>
  <r>
    <s v="No"/>
    <s v="Travel_Rarely"/>
    <x v="1"/>
    <s v="Current Employees"/>
    <x v="1"/>
    <x v="2"/>
    <s v="STAFF-1674"/>
    <x v="1273"/>
    <x v="0"/>
    <x v="2"/>
    <x v="2"/>
    <s v="Yes"/>
    <s v="Y"/>
    <n v="2"/>
    <n v="-2"/>
    <n v="0"/>
    <x v="1"/>
    <n v="0"/>
    <m/>
    <n v="0"/>
    <n v="1"/>
    <n v="464"/>
    <n v="16"/>
    <x v="3"/>
    <n v="1"/>
    <n v="4"/>
    <n v="74"/>
    <n v="3"/>
    <n v="1"/>
    <n v="1"/>
    <n v="2587"/>
    <n v="24941"/>
    <n v="4"/>
    <n v="16"/>
    <n v="3"/>
    <n v="2"/>
    <n v="80"/>
    <n v="1"/>
    <n v="17"/>
    <n v="2"/>
    <n v="2"/>
    <n v="2"/>
    <n v="2"/>
    <n v="2"/>
  </r>
  <r>
    <s v="No"/>
    <s v="Travel_Rarely"/>
    <x v="2"/>
    <s v="Current Employees"/>
    <x v="1"/>
    <x v="2"/>
    <s v="STAFF-1974"/>
    <x v="1274"/>
    <x v="0"/>
    <x v="2"/>
    <x v="2"/>
    <s v="Yes"/>
    <s v="Y"/>
    <n v="4"/>
    <n v="-2"/>
    <n v="0"/>
    <x v="12"/>
    <n v="0"/>
    <m/>
    <n v="0"/>
    <n v="1"/>
    <n v="1276"/>
    <n v="2"/>
    <x v="1"/>
    <n v="1"/>
    <n v="4"/>
    <n v="59"/>
    <n v="1"/>
    <n v="1"/>
    <n v="4"/>
    <n v="1129"/>
    <n v="17536"/>
    <n v="1"/>
    <n v="11"/>
    <n v="3"/>
    <n v="3"/>
    <n v="80"/>
    <n v="3"/>
    <n v="1"/>
    <n v="3"/>
    <n v="1"/>
    <n v="0"/>
    <n v="0"/>
    <n v="0"/>
  </r>
  <r>
    <s v="No"/>
    <s v="Travel_Rarely"/>
    <x v="0"/>
    <s v="Current Employees"/>
    <x v="1"/>
    <x v="1"/>
    <s v="STAFF-1886"/>
    <x v="1275"/>
    <x v="0"/>
    <x v="3"/>
    <x v="1"/>
    <s v="Yes"/>
    <s v="Y"/>
    <n v="2"/>
    <n v="-2"/>
    <n v="0"/>
    <x v="10"/>
    <n v="0"/>
    <m/>
    <n v="0"/>
    <n v="1"/>
    <n v="219"/>
    <n v="16"/>
    <x v="0"/>
    <n v="1"/>
    <n v="4"/>
    <n v="44"/>
    <n v="2"/>
    <n v="2"/>
    <n v="2"/>
    <n v="4788"/>
    <n v="25388"/>
    <n v="0"/>
    <n v="11"/>
    <n v="3"/>
    <n v="4"/>
    <n v="80"/>
    <n v="0"/>
    <n v="4"/>
    <n v="3"/>
    <n v="3"/>
    <n v="2"/>
    <n v="0"/>
    <n v="2"/>
  </r>
  <r>
    <s v="No"/>
    <s v="Travel_Rarely"/>
    <x v="2"/>
    <s v="Current Employees"/>
    <x v="1"/>
    <x v="0"/>
    <s v="STAFF-1893"/>
    <x v="1276"/>
    <x v="0"/>
    <x v="1"/>
    <x v="1"/>
    <s v="Yes"/>
    <s v="Y"/>
    <n v="3"/>
    <n v="-2"/>
    <n v="0"/>
    <x v="25"/>
    <n v="0"/>
    <m/>
    <n v="0"/>
    <n v="1"/>
    <n v="482"/>
    <n v="1"/>
    <x v="0"/>
    <n v="1"/>
    <n v="2"/>
    <n v="90"/>
    <n v="2"/>
    <n v="1"/>
    <n v="3"/>
    <n v="2933"/>
    <n v="14908"/>
    <n v="1"/>
    <n v="13"/>
    <n v="3"/>
    <n v="3"/>
    <n v="80"/>
    <n v="1"/>
    <n v="1"/>
    <n v="2"/>
    <n v="1"/>
    <n v="0"/>
    <n v="1"/>
    <n v="0"/>
  </r>
  <r>
    <s v="No"/>
    <s v="Travel_Rarely"/>
    <x v="0"/>
    <s v="Current Employees"/>
    <x v="1"/>
    <x v="0"/>
    <s v="STAFF-1724"/>
    <x v="1277"/>
    <x v="0"/>
    <x v="3"/>
    <x v="1"/>
    <s v="Yes"/>
    <s v="Y"/>
    <n v="3"/>
    <n v="-2"/>
    <n v="0"/>
    <x v="32"/>
    <n v="0"/>
    <m/>
    <n v="0"/>
    <n v="1"/>
    <n v="369"/>
    <n v="8"/>
    <x v="0"/>
    <n v="1"/>
    <n v="2"/>
    <n v="92"/>
    <n v="3"/>
    <n v="2"/>
    <n v="1"/>
    <n v="6516"/>
    <n v="5041"/>
    <n v="2"/>
    <n v="16"/>
    <n v="3"/>
    <n v="2"/>
    <n v="80"/>
    <n v="1"/>
    <n v="18"/>
    <n v="3"/>
    <n v="1"/>
    <n v="0"/>
    <n v="0"/>
    <n v="0"/>
  </r>
  <r>
    <s v="No"/>
    <s v="Travel_Rarely"/>
    <x v="2"/>
    <s v="Current Employees"/>
    <x v="1"/>
    <x v="2"/>
    <s v="STAFF-2009"/>
    <x v="1278"/>
    <x v="0"/>
    <x v="4"/>
    <x v="1"/>
    <s v="Yes"/>
    <s v="Y"/>
    <n v="6"/>
    <n v="-2"/>
    <n v="0"/>
    <x v="3"/>
    <n v="0"/>
    <m/>
    <n v="0"/>
    <n v="1"/>
    <n v="501"/>
    <n v="15"/>
    <x v="0"/>
    <n v="1"/>
    <n v="2"/>
    <n v="95"/>
    <n v="3"/>
    <n v="2"/>
    <n v="4"/>
    <n v="4878"/>
    <n v="21653"/>
    <n v="0"/>
    <n v="13"/>
    <n v="3"/>
    <n v="1"/>
    <n v="80"/>
    <n v="1"/>
    <n v="10"/>
    <n v="3"/>
    <n v="9"/>
    <n v="7"/>
    <n v="8"/>
    <n v="1"/>
  </r>
  <r>
    <s v="No"/>
    <s v="Travel_Rarely"/>
    <x v="1"/>
    <s v="Current Employees"/>
    <x v="1"/>
    <x v="0"/>
    <s v="STAFF-1661"/>
    <x v="1279"/>
    <x v="0"/>
    <x v="4"/>
    <x v="1"/>
    <s v="Yes"/>
    <s v="Y"/>
    <n v="3"/>
    <n v="-2"/>
    <n v="0"/>
    <x v="1"/>
    <n v="0"/>
    <m/>
    <n v="0"/>
    <n v="1"/>
    <n v="465"/>
    <n v="6"/>
    <x v="1"/>
    <n v="1"/>
    <n v="3"/>
    <n v="41"/>
    <n v="2"/>
    <n v="4"/>
    <n v="3"/>
    <n v="13966"/>
    <n v="11652"/>
    <n v="2"/>
    <n v="19"/>
    <n v="3"/>
    <n v="2"/>
    <n v="80"/>
    <n v="1"/>
    <n v="30"/>
    <n v="3"/>
    <n v="15"/>
    <n v="11"/>
    <n v="2"/>
    <n v="12"/>
  </r>
  <r>
    <s v="No"/>
    <s v="Travel_Rarely"/>
    <x v="0"/>
    <s v="Current Employees"/>
    <x v="1"/>
    <x v="0"/>
    <s v="STAFF-1703"/>
    <x v="1280"/>
    <x v="0"/>
    <x v="4"/>
    <x v="1"/>
    <s v="Yes"/>
    <s v="Y"/>
    <n v="2"/>
    <n v="-2"/>
    <n v="0"/>
    <x v="20"/>
    <n v="0"/>
    <m/>
    <n v="0"/>
    <n v="1"/>
    <n v="921"/>
    <n v="2"/>
    <x v="3"/>
    <n v="1"/>
    <n v="3"/>
    <n v="96"/>
    <n v="4"/>
    <n v="3"/>
    <n v="4"/>
    <n v="7879"/>
    <n v="14810"/>
    <n v="1"/>
    <n v="19"/>
    <n v="3"/>
    <n v="2"/>
    <n v="80"/>
    <n v="1"/>
    <n v="9"/>
    <n v="3"/>
    <n v="8"/>
    <n v="7"/>
    <n v="6"/>
    <n v="7"/>
  </r>
  <r>
    <s v="No"/>
    <s v="Travel_Rarely"/>
    <x v="0"/>
    <s v="Current Employees"/>
    <x v="1"/>
    <x v="2"/>
    <s v="STAFF-1638"/>
    <x v="1281"/>
    <x v="0"/>
    <x v="3"/>
    <x v="1"/>
    <s v="Yes"/>
    <s v="Y"/>
    <n v="6"/>
    <n v="-2"/>
    <n v="0"/>
    <x v="8"/>
    <n v="0"/>
    <m/>
    <n v="0"/>
    <n v="1"/>
    <n v="397"/>
    <n v="2"/>
    <x v="0"/>
    <n v="1"/>
    <n v="4"/>
    <n v="54"/>
    <n v="2"/>
    <n v="3"/>
    <n v="3"/>
    <n v="7756"/>
    <n v="14199"/>
    <n v="3"/>
    <n v="19"/>
    <n v="3"/>
    <n v="4"/>
    <n v="80"/>
    <n v="1"/>
    <n v="10"/>
    <n v="4"/>
    <n v="5"/>
    <n v="4"/>
    <n v="0"/>
    <n v="2"/>
  </r>
  <r>
    <s v="No"/>
    <s v="Travel_Rarely"/>
    <x v="0"/>
    <s v="Current Employees"/>
    <x v="1"/>
    <x v="0"/>
    <s v="STAFF-1614"/>
    <x v="1282"/>
    <x v="0"/>
    <x v="3"/>
    <x v="1"/>
    <s v="Yes"/>
    <s v="Y"/>
    <n v="2"/>
    <n v="-2"/>
    <n v="0"/>
    <x v="9"/>
    <n v="0"/>
    <m/>
    <n v="0"/>
    <n v="1"/>
    <n v="559"/>
    <n v="12"/>
    <x v="2"/>
    <n v="1"/>
    <n v="3"/>
    <n v="76"/>
    <n v="3"/>
    <n v="2"/>
    <n v="3"/>
    <n v="4663"/>
    <n v="12421"/>
    <n v="9"/>
    <n v="12"/>
    <n v="3"/>
    <n v="2"/>
    <n v="80"/>
    <n v="2"/>
    <n v="7"/>
    <n v="3"/>
    <n v="3"/>
    <n v="2"/>
    <n v="1"/>
    <n v="1"/>
  </r>
  <r>
    <s v="No"/>
    <s v="Travel_Rarely"/>
    <x v="0"/>
    <s v="Current Employees"/>
    <x v="1"/>
    <x v="2"/>
    <s v="STAFF-1587"/>
    <x v="1283"/>
    <x v="0"/>
    <x v="4"/>
    <x v="0"/>
    <s v="Yes"/>
    <s v="Y"/>
    <n v="4"/>
    <n v="-2"/>
    <n v="0"/>
    <x v="10"/>
    <n v="0"/>
    <m/>
    <n v="0"/>
    <n v="1"/>
    <n v="670"/>
    <n v="10"/>
    <x v="2"/>
    <n v="1"/>
    <n v="1"/>
    <n v="51"/>
    <n v="3"/>
    <n v="2"/>
    <n v="3"/>
    <n v="6142"/>
    <n v="4223"/>
    <n v="3"/>
    <n v="16"/>
    <n v="3"/>
    <n v="3"/>
    <n v="80"/>
    <n v="0"/>
    <n v="10"/>
    <n v="3"/>
    <n v="5"/>
    <n v="2"/>
    <n v="0"/>
    <n v="4"/>
  </r>
  <r>
    <s v="No"/>
    <s v="Travel_Rarely"/>
    <x v="1"/>
    <s v="Current Employees"/>
    <x v="1"/>
    <x v="2"/>
    <s v="STAFF-1611"/>
    <x v="1284"/>
    <x v="0"/>
    <x v="2"/>
    <x v="0"/>
    <s v="Yes"/>
    <s v="Y"/>
    <n v="3"/>
    <n v="-2"/>
    <n v="0"/>
    <x v="28"/>
    <n v="0"/>
    <m/>
    <n v="0"/>
    <n v="1"/>
    <n v="1015"/>
    <n v="5"/>
    <x v="4"/>
    <n v="1"/>
    <n v="3"/>
    <n v="50"/>
    <n v="1"/>
    <n v="2"/>
    <n v="1"/>
    <n v="5769"/>
    <n v="23447"/>
    <n v="1"/>
    <n v="14"/>
    <n v="3"/>
    <n v="1"/>
    <n v="80"/>
    <n v="0"/>
    <n v="10"/>
    <n v="3"/>
    <n v="10"/>
    <n v="7"/>
    <n v="1"/>
    <n v="4"/>
  </r>
  <r>
    <s v="No"/>
    <s v="Travel_Rarely"/>
    <x v="1"/>
    <s v="Current Employees"/>
    <x v="1"/>
    <x v="2"/>
    <s v="STAFF-1980"/>
    <x v="1285"/>
    <x v="0"/>
    <x v="3"/>
    <x v="0"/>
    <s v="Yes"/>
    <s v="Y"/>
    <n v="3"/>
    <n v="-2"/>
    <n v="0"/>
    <x v="33"/>
    <n v="0"/>
    <m/>
    <n v="0"/>
    <n v="1"/>
    <n v="157"/>
    <n v="10"/>
    <x v="3"/>
    <n v="1"/>
    <n v="3"/>
    <n v="77"/>
    <n v="3"/>
    <n v="2"/>
    <n v="1"/>
    <n v="4440"/>
    <n v="25198"/>
    <n v="6"/>
    <n v="19"/>
    <n v="3"/>
    <n v="4"/>
    <n v="80"/>
    <n v="0"/>
    <n v="9"/>
    <n v="3"/>
    <n v="5"/>
    <n v="2"/>
    <n v="1"/>
    <n v="4"/>
  </r>
  <r>
    <s v="No"/>
    <s v="Travel_Rarely"/>
    <x v="0"/>
    <s v="Current Employees"/>
    <x v="1"/>
    <x v="0"/>
    <s v="STAFF-1641"/>
    <x v="1286"/>
    <x v="0"/>
    <x v="3"/>
    <x v="0"/>
    <s v="Yes"/>
    <s v="Y"/>
    <n v="2"/>
    <n v="-2"/>
    <n v="0"/>
    <x v="32"/>
    <n v="0"/>
    <m/>
    <n v="0"/>
    <n v="1"/>
    <n v="448"/>
    <n v="16"/>
    <x v="3"/>
    <n v="1"/>
    <n v="3"/>
    <n v="84"/>
    <n v="3"/>
    <n v="3"/>
    <n v="4"/>
    <n v="7945"/>
    <n v="19948"/>
    <n v="6"/>
    <n v="15"/>
    <n v="3"/>
    <n v="4"/>
    <n v="80"/>
    <n v="0"/>
    <n v="18"/>
    <n v="2"/>
    <n v="4"/>
    <n v="2"/>
    <n v="3"/>
    <n v="3"/>
  </r>
  <r>
    <s v="No"/>
    <s v="Travel_Rarely"/>
    <x v="0"/>
    <s v="Current Employees"/>
    <x v="0"/>
    <x v="3"/>
    <s v="STAFF-1815"/>
    <x v="1287"/>
    <x v="0"/>
    <x v="0"/>
    <x v="2"/>
    <s v="Yes"/>
    <s v="Y"/>
    <n v="3"/>
    <n v="-2"/>
    <n v="0"/>
    <x v="0"/>
    <n v="0"/>
    <m/>
    <n v="0"/>
    <n v="1"/>
    <n v="796"/>
    <n v="4"/>
    <x v="1"/>
    <n v="1"/>
    <n v="3"/>
    <n v="81"/>
    <n v="3"/>
    <n v="3"/>
    <n v="1"/>
    <n v="10447"/>
    <n v="26458"/>
    <n v="0"/>
    <n v="13"/>
    <n v="3"/>
    <n v="4"/>
    <n v="80"/>
    <n v="1"/>
    <n v="23"/>
    <n v="4"/>
    <n v="22"/>
    <n v="14"/>
    <n v="13"/>
    <n v="5"/>
  </r>
  <r>
    <s v="No"/>
    <s v="Travel_Rarely"/>
    <x v="2"/>
    <s v="Current Employees"/>
    <x v="0"/>
    <x v="2"/>
    <s v="STAFF-1912"/>
    <x v="1288"/>
    <x v="0"/>
    <x v="0"/>
    <x v="2"/>
    <s v="Yes"/>
    <s v="Y"/>
    <n v="2"/>
    <n v="-2"/>
    <n v="0"/>
    <x v="12"/>
    <n v="0"/>
    <m/>
    <n v="0"/>
    <n v="1"/>
    <n v="1079"/>
    <n v="10"/>
    <x v="0"/>
    <n v="1"/>
    <n v="3"/>
    <n v="86"/>
    <n v="3"/>
    <n v="2"/>
    <n v="4"/>
    <n v="6583"/>
    <n v="20115"/>
    <n v="2"/>
    <n v="11"/>
    <n v="3"/>
    <n v="4"/>
    <n v="80"/>
    <n v="1"/>
    <n v="8"/>
    <n v="3"/>
    <n v="5"/>
    <n v="2"/>
    <n v="1"/>
    <n v="4"/>
  </r>
  <r>
    <s v="No"/>
    <s v="Travel_Rarely"/>
    <x v="0"/>
    <s v="Current Employees"/>
    <x v="0"/>
    <x v="0"/>
    <s v="STAFF-1962"/>
    <x v="1289"/>
    <x v="0"/>
    <x v="0"/>
    <x v="1"/>
    <s v="Yes"/>
    <s v="Y"/>
    <n v="2"/>
    <n v="-2"/>
    <n v="0"/>
    <x v="10"/>
    <n v="0"/>
    <m/>
    <n v="0"/>
    <n v="1"/>
    <n v="1224"/>
    <n v="7"/>
    <x v="2"/>
    <n v="1"/>
    <n v="3"/>
    <n v="55"/>
    <n v="3"/>
    <n v="2"/>
    <n v="4"/>
    <n v="5204"/>
    <n v="13586"/>
    <n v="1"/>
    <n v="11"/>
    <n v="3"/>
    <n v="4"/>
    <n v="80"/>
    <n v="0"/>
    <n v="10"/>
    <n v="3"/>
    <n v="10"/>
    <n v="8"/>
    <n v="0"/>
    <n v="9"/>
  </r>
  <r>
    <s v="No"/>
    <s v="Travel_Rarely"/>
    <x v="2"/>
    <s v="Current Employees"/>
    <x v="0"/>
    <x v="2"/>
    <s v="STAFF-1915"/>
    <x v="1290"/>
    <x v="0"/>
    <x v="0"/>
    <x v="1"/>
    <s v="Yes"/>
    <s v="Y"/>
    <n v="3"/>
    <n v="-2"/>
    <n v="0"/>
    <x v="13"/>
    <n v="0"/>
    <m/>
    <n v="0"/>
    <n v="1"/>
    <n v="735"/>
    <n v="3"/>
    <x v="1"/>
    <n v="1"/>
    <n v="4"/>
    <n v="75"/>
    <n v="2"/>
    <n v="2"/>
    <n v="4"/>
    <n v="8103"/>
    <n v="16495"/>
    <n v="3"/>
    <n v="12"/>
    <n v="3"/>
    <n v="3"/>
    <n v="80"/>
    <n v="0"/>
    <n v="9"/>
    <n v="2"/>
    <n v="4"/>
    <n v="2"/>
    <n v="0"/>
    <n v="1"/>
  </r>
  <r>
    <s v="No"/>
    <s v="Travel_Rarely"/>
    <x v="0"/>
    <s v="Current Employees"/>
    <x v="0"/>
    <x v="4"/>
    <s v="STAFF-1880"/>
    <x v="1291"/>
    <x v="0"/>
    <x v="0"/>
    <x v="1"/>
    <s v="Yes"/>
    <s v="Y"/>
    <n v="4"/>
    <n v="-2"/>
    <n v="0"/>
    <x v="9"/>
    <n v="0"/>
    <m/>
    <n v="0"/>
    <n v="1"/>
    <n v="1266"/>
    <n v="10"/>
    <x v="2"/>
    <n v="1"/>
    <n v="4"/>
    <n v="63"/>
    <n v="2"/>
    <n v="2"/>
    <n v="4"/>
    <n v="5673"/>
    <n v="6060"/>
    <n v="1"/>
    <n v="13"/>
    <n v="3"/>
    <n v="1"/>
    <n v="80"/>
    <n v="1"/>
    <n v="10"/>
    <n v="3"/>
    <n v="10"/>
    <n v="9"/>
    <n v="1"/>
    <n v="7"/>
  </r>
  <r>
    <s v="No"/>
    <s v="Travel_Rarely"/>
    <x v="1"/>
    <s v="Current Employees"/>
    <x v="0"/>
    <x v="2"/>
    <s v="STAFF-1503"/>
    <x v="1292"/>
    <x v="0"/>
    <x v="0"/>
    <x v="1"/>
    <s v="Yes"/>
    <s v="Y"/>
    <n v="4"/>
    <n v="-2"/>
    <n v="0"/>
    <x v="40"/>
    <n v="0"/>
    <m/>
    <n v="0"/>
    <n v="1"/>
    <n v="571"/>
    <n v="14"/>
    <x v="3"/>
    <n v="1"/>
    <n v="3"/>
    <n v="78"/>
    <n v="3"/>
    <n v="2"/>
    <n v="3"/>
    <n v="4591"/>
    <n v="24200"/>
    <n v="3"/>
    <n v="17"/>
    <n v="3"/>
    <n v="3"/>
    <n v="80"/>
    <n v="1"/>
    <n v="11"/>
    <n v="2"/>
    <n v="5"/>
    <n v="4"/>
    <n v="1"/>
    <n v="2"/>
  </r>
  <r>
    <s v="No"/>
    <s v="Travel_Rarely"/>
    <x v="3"/>
    <s v="Current Employees"/>
    <x v="0"/>
    <x v="0"/>
    <s v="STAFF-1938"/>
    <x v="1293"/>
    <x v="0"/>
    <x v="5"/>
    <x v="1"/>
    <s v="Yes"/>
    <s v="Y"/>
    <n v="2"/>
    <n v="-2"/>
    <n v="0"/>
    <x v="34"/>
    <n v="0"/>
    <m/>
    <n v="0"/>
    <n v="1"/>
    <n v="605"/>
    <n v="21"/>
    <x v="3"/>
    <n v="1"/>
    <n v="4"/>
    <n v="72"/>
    <n v="3"/>
    <n v="4"/>
    <n v="4"/>
    <n v="17875"/>
    <n v="11761"/>
    <n v="4"/>
    <n v="13"/>
    <n v="3"/>
    <n v="3"/>
    <n v="80"/>
    <n v="1"/>
    <n v="29"/>
    <n v="2"/>
    <n v="1"/>
    <n v="0"/>
    <n v="0"/>
    <n v="0"/>
  </r>
  <r>
    <s v="No"/>
    <s v="Travel_Rarely"/>
    <x v="4"/>
    <s v="Current Employees"/>
    <x v="0"/>
    <x v="2"/>
    <s v="STAFF-1445"/>
    <x v="1294"/>
    <x v="0"/>
    <x v="0"/>
    <x v="1"/>
    <s v="Yes"/>
    <s v="Y"/>
    <n v="3"/>
    <n v="-2"/>
    <n v="0"/>
    <x v="17"/>
    <n v="0"/>
    <m/>
    <n v="0"/>
    <n v="1"/>
    <n v="1476"/>
    <n v="4"/>
    <x v="1"/>
    <n v="1"/>
    <n v="4"/>
    <n v="42"/>
    <n v="3"/>
    <n v="2"/>
    <n v="3"/>
    <n v="4162"/>
    <n v="15211"/>
    <n v="1"/>
    <n v="12"/>
    <n v="3"/>
    <n v="3"/>
    <n v="80"/>
    <n v="2"/>
    <n v="5"/>
    <n v="3"/>
    <n v="5"/>
    <n v="4"/>
    <n v="0"/>
    <n v="3"/>
  </r>
  <r>
    <s v="No"/>
    <s v="Travel_Rarely"/>
    <x v="0"/>
    <s v="Current Employees"/>
    <x v="0"/>
    <x v="3"/>
    <s v="STAFF-1425"/>
    <x v="1295"/>
    <x v="0"/>
    <x v="0"/>
    <x v="0"/>
    <s v="Yes"/>
    <s v="Y"/>
    <n v="3"/>
    <n v="-2"/>
    <n v="0"/>
    <x v="9"/>
    <n v="0"/>
    <m/>
    <n v="0"/>
    <n v="1"/>
    <n v="1174"/>
    <n v="3"/>
    <x v="2"/>
    <n v="1"/>
    <n v="1"/>
    <n v="99"/>
    <n v="3"/>
    <n v="2"/>
    <n v="1"/>
    <n v="9278"/>
    <n v="20763"/>
    <n v="3"/>
    <n v="16"/>
    <n v="3"/>
    <n v="4"/>
    <n v="80"/>
    <n v="0"/>
    <n v="15"/>
    <n v="3"/>
    <n v="5"/>
    <n v="4"/>
    <n v="0"/>
    <n v="1"/>
  </r>
  <r>
    <s v="No"/>
    <s v="Non-Travel"/>
    <x v="0"/>
    <s v="Current Employees"/>
    <x v="1"/>
    <x v="0"/>
    <s v="STAFF-1552"/>
    <x v="1296"/>
    <x v="1"/>
    <x v="4"/>
    <x v="2"/>
    <s v="Yes"/>
    <s v="Y"/>
    <n v="2"/>
    <n v="-2"/>
    <n v="0"/>
    <x v="32"/>
    <n v="0"/>
    <m/>
    <n v="0"/>
    <n v="1"/>
    <n v="1142"/>
    <n v="8"/>
    <x v="0"/>
    <n v="1"/>
    <n v="4"/>
    <n v="72"/>
    <n v="3"/>
    <n v="2"/>
    <n v="4"/>
    <n v="4069"/>
    <n v="8841"/>
    <n v="3"/>
    <n v="18"/>
    <n v="3"/>
    <n v="3"/>
    <n v="80"/>
    <n v="0"/>
    <n v="8"/>
    <n v="3"/>
    <n v="2"/>
    <n v="2"/>
    <n v="2"/>
    <n v="2"/>
  </r>
  <r>
    <s v="No"/>
    <s v="Non-Travel"/>
    <x v="2"/>
    <s v="Current Employees"/>
    <x v="1"/>
    <x v="2"/>
    <s v="STAFF-1948"/>
    <x v="1297"/>
    <x v="1"/>
    <x v="1"/>
    <x v="2"/>
    <s v="Yes"/>
    <s v="Y"/>
    <n v="3"/>
    <n v="-2"/>
    <n v="0"/>
    <x v="12"/>
    <n v="0"/>
    <m/>
    <n v="0"/>
    <n v="1"/>
    <n v="976"/>
    <n v="3"/>
    <x v="0"/>
    <n v="1"/>
    <n v="3"/>
    <n v="48"/>
    <n v="3"/>
    <n v="1"/>
    <n v="1"/>
    <n v="3065"/>
    <n v="3995"/>
    <n v="1"/>
    <n v="13"/>
    <n v="3"/>
    <n v="4"/>
    <n v="80"/>
    <n v="1"/>
    <n v="4"/>
    <n v="4"/>
    <n v="4"/>
    <n v="2"/>
    <n v="2"/>
    <n v="3"/>
  </r>
  <r>
    <s v="No"/>
    <s v="Non-Travel"/>
    <x v="0"/>
    <s v="Current Employees"/>
    <x v="1"/>
    <x v="0"/>
    <s v="STAFF-1737"/>
    <x v="1298"/>
    <x v="1"/>
    <x v="2"/>
    <x v="1"/>
    <s v="Yes"/>
    <s v="Y"/>
    <n v="2"/>
    <n v="-2"/>
    <n v="0"/>
    <x v="22"/>
    <n v="0"/>
    <m/>
    <n v="0"/>
    <n v="1"/>
    <n v="792"/>
    <n v="1"/>
    <x v="3"/>
    <n v="1"/>
    <n v="4"/>
    <n v="77"/>
    <n v="3"/>
    <n v="2"/>
    <n v="4"/>
    <n v="6472"/>
    <n v="8989"/>
    <n v="1"/>
    <n v="15"/>
    <n v="3"/>
    <n v="4"/>
    <n v="80"/>
    <n v="1"/>
    <n v="9"/>
    <n v="3"/>
    <n v="9"/>
    <n v="8"/>
    <n v="5"/>
    <n v="8"/>
  </r>
  <r>
    <s v="No"/>
    <s v="Non-Travel"/>
    <x v="2"/>
    <s v="Current Employees"/>
    <x v="0"/>
    <x v="0"/>
    <s v="STAFF-1774"/>
    <x v="1299"/>
    <x v="1"/>
    <x v="0"/>
    <x v="2"/>
    <s v="Yes"/>
    <s v="Y"/>
    <n v="3"/>
    <n v="-2"/>
    <n v="0"/>
    <x v="13"/>
    <n v="0"/>
    <m/>
    <n v="0"/>
    <n v="1"/>
    <n v="1375"/>
    <n v="10"/>
    <x v="3"/>
    <n v="1"/>
    <n v="4"/>
    <n v="87"/>
    <n v="3"/>
    <n v="2"/>
    <n v="3"/>
    <n v="4001"/>
    <n v="12313"/>
    <n v="1"/>
    <n v="14"/>
    <n v="3"/>
    <n v="3"/>
    <n v="80"/>
    <n v="1"/>
    <n v="15"/>
    <n v="3"/>
    <n v="15"/>
    <n v="14"/>
    <n v="0"/>
    <n v="7"/>
  </r>
  <r>
    <s v="No"/>
    <s v="Travel_Frequently"/>
    <x v="0"/>
    <s v="Current Employees"/>
    <x v="2"/>
    <x v="5"/>
    <s v="STAFF-1642"/>
    <x v="1300"/>
    <x v="1"/>
    <x v="8"/>
    <x v="1"/>
    <s v="Yes"/>
    <s v="Y"/>
    <n v="3"/>
    <n v="-2"/>
    <n v="0"/>
    <x v="20"/>
    <n v="0"/>
    <m/>
    <n v="0"/>
    <n v="1"/>
    <n v="602"/>
    <n v="1"/>
    <x v="4"/>
    <n v="1"/>
    <n v="1"/>
    <n v="37"/>
    <n v="3"/>
    <n v="2"/>
    <n v="4"/>
    <n v="5743"/>
    <n v="10503"/>
    <n v="4"/>
    <n v="11"/>
    <n v="3"/>
    <n v="3"/>
    <n v="80"/>
    <n v="0"/>
    <n v="14"/>
    <n v="3"/>
    <n v="10"/>
    <n v="7"/>
    <n v="0"/>
    <n v="2"/>
  </r>
  <r>
    <s v="No"/>
    <s v="Travel_Frequently"/>
    <x v="0"/>
    <s v="Current Employees"/>
    <x v="2"/>
    <x v="1"/>
    <s v="STAFF-1972"/>
    <x v="1301"/>
    <x v="1"/>
    <x v="8"/>
    <x v="1"/>
    <s v="Yes"/>
    <s v="Y"/>
    <n v="2"/>
    <n v="-2"/>
    <n v="0"/>
    <x v="8"/>
    <n v="0"/>
    <m/>
    <n v="0"/>
    <n v="1"/>
    <n v="1444"/>
    <n v="1"/>
    <x v="2"/>
    <n v="1"/>
    <n v="4"/>
    <n v="88"/>
    <n v="3"/>
    <n v="1"/>
    <n v="2"/>
    <n v="2991"/>
    <n v="5224"/>
    <n v="0"/>
    <n v="11"/>
    <n v="3"/>
    <n v="2"/>
    <n v="80"/>
    <n v="1"/>
    <n v="7"/>
    <n v="3"/>
    <n v="6"/>
    <n v="2"/>
    <n v="1"/>
    <n v="2"/>
  </r>
  <r>
    <s v="No"/>
    <s v="Travel_Frequently"/>
    <x v="3"/>
    <s v="Current Employees"/>
    <x v="1"/>
    <x v="0"/>
    <s v="STAFF-1837"/>
    <x v="1302"/>
    <x v="1"/>
    <x v="7"/>
    <x v="1"/>
    <s v="Yes"/>
    <s v="Y"/>
    <n v="3"/>
    <n v="-2"/>
    <n v="0"/>
    <x v="34"/>
    <n v="0"/>
    <m/>
    <n v="0"/>
    <n v="1"/>
    <n v="1216"/>
    <n v="15"/>
    <x v="2"/>
    <n v="1"/>
    <n v="1"/>
    <n v="87"/>
    <n v="3"/>
    <n v="4"/>
    <n v="3"/>
    <n v="15787"/>
    <n v="21624"/>
    <n v="2"/>
    <n v="14"/>
    <n v="3"/>
    <n v="2"/>
    <n v="80"/>
    <n v="0"/>
    <n v="23"/>
    <n v="3"/>
    <n v="2"/>
    <n v="2"/>
    <n v="2"/>
    <n v="2"/>
  </r>
  <r>
    <s v="No"/>
    <s v="Travel_Frequently"/>
    <x v="2"/>
    <s v="Current Employees"/>
    <x v="1"/>
    <x v="1"/>
    <s v="STAFF-1932"/>
    <x v="1303"/>
    <x v="1"/>
    <x v="1"/>
    <x v="1"/>
    <s v="Yes"/>
    <s v="Y"/>
    <n v="3"/>
    <n v="-2"/>
    <n v="0"/>
    <x v="13"/>
    <n v="0"/>
    <m/>
    <n v="0"/>
    <n v="1"/>
    <n v="735"/>
    <n v="22"/>
    <x v="2"/>
    <n v="1"/>
    <n v="3"/>
    <n v="86"/>
    <n v="2"/>
    <n v="2"/>
    <n v="4"/>
    <n v="5747"/>
    <n v="26496"/>
    <n v="1"/>
    <n v="15"/>
    <n v="3"/>
    <n v="2"/>
    <n v="80"/>
    <n v="0"/>
    <n v="16"/>
    <n v="3"/>
    <n v="15"/>
    <n v="10"/>
    <n v="6"/>
    <n v="11"/>
  </r>
  <r>
    <s v="No"/>
    <s v="Travel_Frequently"/>
    <x v="0"/>
    <s v="Current Employees"/>
    <x v="1"/>
    <x v="0"/>
    <s v="STAFF-1594"/>
    <x v="1304"/>
    <x v="1"/>
    <x v="2"/>
    <x v="1"/>
    <s v="Yes"/>
    <s v="Y"/>
    <n v="3"/>
    <n v="-2"/>
    <n v="0"/>
    <x v="9"/>
    <n v="0"/>
    <m/>
    <n v="0"/>
    <n v="1"/>
    <n v="1302"/>
    <n v="6"/>
    <x v="2"/>
    <n v="1"/>
    <n v="1"/>
    <n v="80"/>
    <n v="4"/>
    <n v="2"/>
    <n v="1"/>
    <n v="5562"/>
    <n v="19711"/>
    <n v="3"/>
    <n v="13"/>
    <n v="3"/>
    <n v="4"/>
    <n v="80"/>
    <n v="1"/>
    <n v="9"/>
    <n v="3"/>
    <n v="3"/>
    <n v="2"/>
    <n v="0"/>
    <n v="2"/>
  </r>
  <r>
    <s v="No"/>
    <s v="Travel_Frequently"/>
    <x v="1"/>
    <s v="Current Employees"/>
    <x v="1"/>
    <x v="2"/>
    <s v="STAFF-1606"/>
    <x v="1305"/>
    <x v="1"/>
    <x v="4"/>
    <x v="1"/>
    <s v="Yes"/>
    <s v="Y"/>
    <n v="3"/>
    <n v="-2"/>
    <n v="0"/>
    <x v="24"/>
    <n v="0"/>
    <m/>
    <n v="0"/>
    <n v="1"/>
    <n v="1234"/>
    <n v="20"/>
    <x v="4"/>
    <n v="1"/>
    <n v="2"/>
    <n v="41"/>
    <n v="3"/>
    <n v="4"/>
    <n v="3"/>
    <n v="11245"/>
    <n v="20689"/>
    <n v="2"/>
    <n v="15"/>
    <n v="3"/>
    <n v="3"/>
    <n v="80"/>
    <n v="1"/>
    <n v="32"/>
    <n v="3"/>
    <n v="30"/>
    <n v="8"/>
    <n v="12"/>
    <n v="13"/>
  </r>
  <r>
    <s v="No"/>
    <s v="Travel_Frequently"/>
    <x v="0"/>
    <s v="Current Employees"/>
    <x v="1"/>
    <x v="0"/>
    <s v="STAFF-1547"/>
    <x v="1306"/>
    <x v="1"/>
    <x v="4"/>
    <x v="1"/>
    <s v="Yes"/>
    <s v="Y"/>
    <n v="3"/>
    <n v="-2"/>
    <n v="0"/>
    <x v="19"/>
    <n v="0"/>
    <m/>
    <n v="0"/>
    <n v="1"/>
    <n v="288"/>
    <n v="2"/>
    <x v="3"/>
    <n v="1"/>
    <n v="4"/>
    <n v="40"/>
    <n v="3"/>
    <n v="3"/>
    <n v="4"/>
    <n v="10124"/>
    <n v="18611"/>
    <n v="2"/>
    <n v="14"/>
    <n v="3"/>
    <n v="3"/>
    <n v="80"/>
    <n v="1"/>
    <n v="24"/>
    <n v="1"/>
    <n v="20"/>
    <n v="8"/>
    <n v="13"/>
    <n v="9"/>
  </r>
  <r>
    <s v="No"/>
    <s v="Travel_Frequently"/>
    <x v="0"/>
    <s v="Current Employees"/>
    <x v="1"/>
    <x v="0"/>
    <s v="STAFF-2049"/>
    <x v="1307"/>
    <x v="1"/>
    <x v="4"/>
    <x v="1"/>
    <s v="Yes"/>
    <s v="Y"/>
    <n v="2"/>
    <n v="-2"/>
    <n v="0"/>
    <x v="10"/>
    <n v="0"/>
    <m/>
    <n v="0"/>
    <n v="1"/>
    <n v="1199"/>
    <n v="18"/>
    <x v="2"/>
    <n v="1"/>
    <n v="3"/>
    <n v="80"/>
    <n v="3"/>
    <n v="2"/>
    <n v="3"/>
    <n v="5689"/>
    <n v="24594"/>
    <n v="1"/>
    <n v="14"/>
    <n v="3"/>
    <n v="4"/>
    <n v="80"/>
    <n v="2"/>
    <n v="10"/>
    <n v="4"/>
    <n v="10"/>
    <n v="2"/>
    <n v="0"/>
    <n v="2"/>
  </r>
  <r>
    <s v="No"/>
    <s v="Travel_Frequently"/>
    <x v="0"/>
    <s v="Current Employees"/>
    <x v="1"/>
    <x v="2"/>
    <s v="STAFF-1704"/>
    <x v="1308"/>
    <x v="1"/>
    <x v="1"/>
    <x v="0"/>
    <s v="Yes"/>
    <s v="Y"/>
    <n v="2"/>
    <n v="-2"/>
    <n v="0"/>
    <x v="10"/>
    <n v="0"/>
    <m/>
    <n v="0"/>
    <n v="1"/>
    <n v="146"/>
    <n v="2"/>
    <x v="2"/>
    <n v="1"/>
    <n v="1"/>
    <n v="79"/>
    <n v="2"/>
    <n v="1"/>
    <n v="4"/>
    <n v="4930"/>
    <n v="13970"/>
    <n v="0"/>
    <n v="14"/>
    <n v="3"/>
    <n v="3"/>
    <n v="80"/>
    <n v="0"/>
    <n v="6"/>
    <n v="4"/>
    <n v="5"/>
    <n v="4"/>
    <n v="1"/>
    <n v="4"/>
  </r>
  <r>
    <s v="No"/>
    <s v="Travel_Frequently"/>
    <x v="0"/>
    <s v="Current Employees"/>
    <x v="1"/>
    <x v="2"/>
    <s v="STAFF-1496"/>
    <x v="1309"/>
    <x v="1"/>
    <x v="3"/>
    <x v="0"/>
    <s v="Yes"/>
    <s v="Y"/>
    <n v="2"/>
    <n v="-2"/>
    <n v="0"/>
    <x v="20"/>
    <n v="0"/>
    <m/>
    <n v="0"/>
    <n v="1"/>
    <n v="1193"/>
    <n v="2"/>
    <x v="1"/>
    <n v="1"/>
    <n v="2"/>
    <n v="86"/>
    <n v="3"/>
    <n v="3"/>
    <n v="3"/>
    <n v="10209"/>
    <n v="19719"/>
    <n v="5"/>
    <n v="18"/>
    <n v="3"/>
    <n v="2"/>
    <n v="80"/>
    <n v="0"/>
    <n v="16"/>
    <n v="2"/>
    <n v="2"/>
    <n v="2"/>
    <n v="2"/>
    <n v="2"/>
  </r>
  <r>
    <s v="No"/>
    <s v="Travel_Frequently"/>
    <x v="1"/>
    <s v="Current Employees"/>
    <x v="1"/>
    <x v="2"/>
    <s v="STAFF-1539"/>
    <x v="1310"/>
    <x v="1"/>
    <x v="7"/>
    <x v="0"/>
    <s v="Yes"/>
    <s v="Y"/>
    <n v="2"/>
    <n v="-2"/>
    <n v="0"/>
    <x v="24"/>
    <n v="0"/>
    <m/>
    <n v="0"/>
    <n v="1"/>
    <n v="333"/>
    <n v="22"/>
    <x v="4"/>
    <n v="1"/>
    <n v="3"/>
    <n v="88"/>
    <n v="1"/>
    <n v="4"/>
    <n v="4"/>
    <n v="14411"/>
    <n v="24450"/>
    <n v="1"/>
    <n v="13"/>
    <n v="3"/>
    <n v="4"/>
    <n v="80"/>
    <n v="0"/>
    <n v="32"/>
    <n v="3"/>
    <n v="32"/>
    <n v="6"/>
    <n v="13"/>
    <n v="9"/>
  </r>
  <r>
    <s v="No"/>
    <s v="Travel_Frequently"/>
    <x v="2"/>
    <s v="Current Employees"/>
    <x v="1"/>
    <x v="0"/>
    <s v="STAFF-1753"/>
    <x v="1311"/>
    <x v="1"/>
    <x v="4"/>
    <x v="0"/>
    <s v="Yes"/>
    <s v="Y"/>
    <n v="5"/>
    <n v="-2"/>
    <n v="0"/>
    <x v="11"/>
    <n v="0"/>
    <m/>
    <n v="0"/>
    <n v="1"/>
    <n v="461"/>
    <n v="1"/>
    <x v="3"/>
    <n v="1"/>
    <n v="4"/>
    <n v="70"/>
    <n v="4"/>
    <n v="2"/>
    <n v="3"/>
    <n v="6294"/>
    <n v="23060"/>
    <n v="8"/>
    <n v="12"/>
    <n v="3"/>
    <n v="4"/>
    <n v="80"/>
    <n v="0"/>
    <n v="10"/>
    <n v="4"/>
    <n v="3"/>
    <n v="2"/>
    <n v="0"/>
    <n v="2"/>
  </r>
  <r>
    <s v="No"/>
    <s v="Travel_Frequently"/>
    <x v="2"/>
    <s v="Current Employees"/>
    <x v="0"/>
    <x v="0"/>
    <s v="STAFF-1927"/>
    <x v="1312"/>
    <x v="1"/>
    <x v="0"/>
    <x v="1"/>
    <s v="Yes"/>
    <s v="Y"/>
    <n v="2"/>
    <n v="-2"/>
    <n v="0"/>
    <x v="14"/>
    <n v="0"/>
    <m/>
    <n v="0"/>
    <n v="1"/>
    <n v="783"/>
    <n v="1"/>
    <x v="0"/>
    <n v="1"/>
    <n v="3"/>
    <n v="42"/>
    <n v="2"/>
    <n v="2"/>
    <n v="4"/>
    <n v="6834"/>
    <n v="19255"/>
    <n v="1"/>
    <n v="12"/>
    <n v="3"/>
    <n v="3"/>
    <n v="80"/>
    <n v="1"/>
    <n v="7"/>
    <n v="3"/>
    <n v="7"/>
    <n v="7"/>
    <n v="0"/>
    <n v="7"/>
  </r>
  <r>
    <s v="No"/>
    <s v="Travel_Rarely"/>
    <x v="3"/>
    <s v="Current Employees"/>
    <x v="2"/>
    <x v="5"/>
    <s v="STAFF-1973"/>
    <x v="1313"/>
    <x v="1"/>
    <x v="5"/>
    <x v="1"/>
    <s v="Yes"/>
    <s v="Y"/>
    <n v="0"/>
    <n v="-2"/>
    <n v="0"/>
    <x v="27"/>
    <n v="0"/>
    <m/>
    <n v="0"/>
    <n v="1"/>
    <n v="189"/>
    <n v="26"/>
    <x v="2"/>
    <n v="1"/>
    <n v="3"/>
    <n v="71"/>
    <n v="4"/>
    <n v="5"/>
    <n v="2"/>
    <n v="19636"/>
    <n v="25811"/>
    <n v="4"/>
    <n v="18"/>
    <n v="3"/>
    <n v="1"/>
    <n v="80"/>
    <n v="1"/>
    <n v="35"/>
    <n v="3"/>
    <n v="10"/>
    <n v="9"/>
    <n v="1"/>
    <n v="4"/>
  </r>
  <r>
    <s v="No"/>
    <s v="Travel_Rarely"/>
    <x v="1"/>
    <s v="Current Employees"/>
    <x v="1"/>
    <x v="2"/>
    <s v="STAFF-1460"/>
    <x v="1314"/>
    <x v="1"/>
    <x v="4"/>
    <x v="2"/>
    <s v="Yes"/>
    <s v="Y"/>
    <n v="2"/>
    <n v="-2"/>
    <n v="0"/>
    <x v="28"/>
    <n v="0"/>
    <m/>
    <n v="0"/>
    <n v="1"/>
    <n v="1038"/>
    <n v="20"/>
    <x v="3"/>
    <n v="1"/>
    <n v="2"/>
    <n v="95"/>
    <n v="1"/>
    <n v="3"/>
    <n v="1"/>
    <n v="10851"/>
    <n v="19863"/>
    <n v="2"/>
    <n v="18"/>
    <n v="3"/>
    <n v="2"/>
    <n v="80"/>
    <n v="1"/>
    <n v="24"/>
    <n v="3"/>
    <n v="7"/>
    <n v="7"/>
    <n v="0"/>
    <n v="7"/>
  </r>
  <r>
    <s v="No"/>
    <s v="Travel_Rarely"/>
    <x v="1"/>
    <s v="Current Employees"/>
    <x v="1"/>
    <x v="2"/>
    <s v="STAFF-1789"/>
    <x v="1315"/>
    <x v="1"/>
    <x v="7"/>
    <x v="2"/>
    <s v="Yes"/>
    <s v="Y"/>
    <n v="3"/>
    <n v="-2"/>
    <n v="0"/>
    <x v="21"/>
    <n v="0"/>
    <m/>
    <n v="0"/>
    <n v="1"/>
    <n v="734"/>
    <n v="2"/>
    <x v="2"/>
    <n v="1"/>
    <n v="3"/>
    <n v="46"/>
    <n v="3"/>
    <n v="5"/>
    <n v="4"/>
    <n v="19328"/>
    <n v="14218"/>
    <n v="7"/>
    <n v="17"/>
    <n v="3"/>
    <n v="3"/>
    <n v="80"/>
    <n v="1"/>
    <n v="24"/>
    <n v="3"/>
    <n v="2"/>
    <n v="1"/>
    <n v="2"/>
    <n v="2"/>
  </r>
  <r>
    <s v="No"/>
    <s v="Travel_Rarely"/>
    <x v="0"/>
    <s v="Current Employees"/>
    <x v="1"/>
    <x v="0"/>
    <s v="STAFF-1998"/>
    <x v="1316"/>
    <x v="1"/>
    <x v="1"/>
    <x v="2"/>
    <s v="Yes"/>
    <s v="Y"/>
    <n v="3"/>
    <n v="-2"/>
    <n v="0"/>
    <x v="19"/>
    <n v="0"/>
    <m/>
    <n v="0"/>
    <n v="1"/>
    <n v="557"/>
    <n v="18"/>
    <x v="2"/>
    <n v="1"/>
    <n v="4"/>
    <n v="35"/>
    <n v="3"/>
    <n v="2"/>
    <n v="1"/>
    <n v="5410"/>
    <n v="11189"/>
    <n v="6"/>
    <n v="17"/>
    <n v="3"/>
    <n v="3"/>
    <n v="80"/>
    <n v="1"/>
    <n v="9"/>
    <n v="2"/>
    <n v="4"/>
    <n v="3"/>
    <n v="1"/>
    <n v="2"/>
  </r>
  <r>
    <s v="No"/>
    <s v="Travel_Rarely"/>
    <x v="2"/>
    <s v="Current Employees"/>
    <x v="1"/>
    <x v="1"/>
    <s v="STAFF-1992"/>
    <x v="1317"/>
    <x v="1"/>
    <x v="2"/>
    <x v="2"/>
    <s v="Yes"/>
    <s v="Y"/>
    <n v="2"/>
    <n v="-2"/>
    <n v="0"/>
    <x v="36"/>
    <n v="0"/>
    <m/>
    <n v="0"/>
    <n v="1"/>
    <n v="977"/>
    <n v="2"/>
    <x v="1"/>
    <n v="1"/>
    <n v="4"/>
    <n v="57"/>
    <n v="3"/>
    <n v="1"/>
    <n v="3"/>
    <n v="3977"/>
    <n v="7298"/>
    <n v="6"/>
    <n v="19"/>
    <n v="3"/>
    <n v="3"/>
    <n v="80"/>
    <n v="1"/>
    <n v="7"/>
    <n v="2"/>
    <n v="2"/>
    <n v="2"/>
    <n v="0"/>
    <n v="2"/>
  </r>
  <r>
    <s v="No"/>
    <s v="Travel_Rarely"/>
    <x v="0"/>
    <s v="Current Employees"/>
    <x v="1"/>
    <x v="2"/>
    <s v="STAFF-1448"/>
    <x v="1318"/>
    <x v="1"/>
    <x v="1"/>
    <x v="1"/>
    <s v="Yes"/>
    <s v="Y"/>
    <n v="5"/>
    <n v="-2"/>
    <n v="0"/>
    <x v="0"/>
    <n v="0"/>
    <m/>
    <n v="0"/>
    <n v="1"/>
    <n v="1283"/>
    <n v="5"/>
    <x v="4"/>
    <n v="1"/>
    <n v="2"/>
    <n v="90"/>
    <n v="4"/>
    <n v="1"/>
    <n v="3"/>
    <n v="2127"/>
    <n v="5561"/>
    <n v="2"/>
    <n v="12"/>
    <n v="3"/>
    <n v="1"/>
    <n v="80"/>
    <n v="0"/>
    <n v="7"/>
    <n v="2"/>
    <n v="4"/>
    <n v="2"/>
    <n v="0"/>
    <n v="3"/>
  </r>
  <r>
    <s v="No"/>
    <s v="Travel_Rarely"/>
    <x v="3"/>
    <s v="Current Employees"/>
    <x v="1"/>
    <x v="0"/>
    <s v="STAFF-1501"/>
    <x v="1319"/>
    <x v="1"/>
    <x v="4"/>
    <x v="1"/>
    <s v="Yes"/>
    <s v="Y"/>
    <n v="2"/>
    <n v="-2"/>
    <n v="0"/>
    <x v="27"/>
    <n v="0"/>
    <m/>
    <n v="0"/>
    <n v="1"/>
    <n v="1229"/>
    <n v="4"/>
    <x v="2"/>
    <n v="1"/>
    <n v="4"/>
    <n v="30"/>
    <n v="3"/>
    <n v="2"/>
    <n v="3"/>
    <n v="4035"/>
    <n v="16143"/>
    <n v="0"/>
    <n v="16"/>
    <n v="3"/>
    <n v="2"/>
    <n v="80"/>
    <n v="0"/>
    <n v="4"/>
    <n v="3"/>
    <n v="3"/>
    <n v="2"/>
    <n v="1"/>
    <n v="2"/>
  </r>
  <r>
    <s v="No"/>
    <s v="Travel_Rarely"/>
    <x v="0"/>
    <s v="Current Employees"/>
    <x v="1"/>
    <x v="2"/>
    <s v="STAFF-1766"/>
    <x v="1320"/>
    <x v="1"/>
    <x v="4"/>
    <x v="1"/>
    <s v="Yes"/>
    <s v="Y"/>
    <n v="2"/>
    <n v="-2"/>
    <n v="0"/>
    <x v="8"/>
    <n v="0"/>
    <m/>
    <n v="0"/>
    <n v="1"/>
    <n v="833"/>
    <n v="18"/>
    <x v="3"/>
    <n v="1"/>
    <n v="2"/>
    <n v="60"/>
    <n v="1"/>
    <n v="2"/>
    <n v="4"/>
    <n v="5811"/>
    <n v="24539"/>
    <n v="3"/>
    <n v="16"/>
    <n v="3"/>
    <n v="3"/>
    <n v="80"/>
    <n v="1"/>
    <n v="15"/>
    <n v="3"/>
    <n v="1"/>
    <n v="0"/>
    <n v="1"/>
    <n v="0"/>
  </r>
  <r>
    <s v="No"/>
    <s v="Travel_Rarely"/>
    <x v="2"/>
    <s v="Current Employees"/>
    <x v="1"/>
    <x v="0"/>
    <s v="STAFF-1549"/>
    <x v="1321"/>
    <x v="1"/>
    <x v="2"/>
    <x v="1"/>
    <s v="Yes"/>
    <s v="Y"/>
    <n v="3"/>
    <n v="-2"/>
    <n v="0"/>
    <x v="3"/>
    <n v="0"/>
    <m/>
    <n v="0"/>
    <n v="1"/>
    <n v="589"/>
    <n v="28"/>
    <x v="2"/>
    <n v="1"/>
    <n v="2"/>
    <n v="79"/>
    <n v="3"/>
    <n v="2"/>
    <n v="3"/>
    <n v="5207"/>
    <n v="22949"/>
    <n v="1"/>
    <n v="12"/>
    <n v="3"/>
    <n v="2"/>
    <n v="80"/>
    <n v="1"/>
    <n v="15"/>
    <n v="3"/>
    <n v="15"/>
    <n v="14"/>
    <n v="5"/>
    <n v="7"/>
  </r>
  <r>
    <s v="No"/>
    <s v="Travel_Rarely"/>
    <x v="2"/>
    <s v="Current Employees"/>
    <x v="1"/>
    <x v="1"/>
    <s v="STAFF-2053"/>
    <x v="1322"/>
    <x v="1"/>
    <x v="2"/>
    <x v="1"/>
    <s v="Yes"/>
    <s v="Y"/>
    <n v="2"/>
    <n v="-2"/>
    <n v="0"/>
    <x v="11"/>
    <n v="0"/>
    <m/>
    <n v="0"/>
    <n v="1"/>
    <n v="1378"/>
    <n v="13"/>
    <x v="0"/>
    <n v="1"/>
    <n v="4"/>
    <n v="46"/>
    <n v="2"/>
    <n v="2"/>
    <n v="2"/>
    <n v="4025"/>
    <n v="23679"/>
    <n v="4"/>
    <n v="13"/>
    <n v="3"/>
    <n v="1"/>
    <n v="80"/>
    <n v="1"/>
    <n v="10"/>
    <n v="3"/>
    <n v="4"/>
    <n v="3"/>
    <n v="0"/>
    <n v="3"/>
  </r>
  <r>
    <s v="No"/>
    <s v="Travel_Rarely"/>
    <x v="0"/>
    <s v="Current Employees"/>
    <x v="1"/>
    <x v="0"/>
    <s v="STAFF-1790"/>
    <x v="1323"/>
    <x v="1"/>
    <x v="4"/>
    <x v="1"/>
    <s v="Yes"/>
    <s v="Y"/>
    <n v="1"/>
    <n v="-2"/>
    <n v="0"/>
    <x v="9"/>
    <n v="0"/>
    <m/>
    <n v="0"/>
    <n v="1"/>
    <n v="1383"/>
    <n v="10"/>
    <x v="3"/>
    <n v="1"/>
    <n v="4"/>
    <n v="90"/>
    <n v="3"/>
    <n v="3"/>
    <n v="1"/>
    <n v="8321"/>
    <n v="25949"/>
    <n v="7"/>
    <n v="13"/>
    <n v="3"/>
    <n v="4"/>
    <n v="80"/>
    <n v="1"/>
    <n v="15"/>
    <n v="3"/>
    <n v="12"/>
    <n v="8"/>
    <n v="5"/>
    <n v="7"/>
  </r>
  <r>
    <s v="No"/>
    <s v="Travel_Rarely"/>
    <x v="0"/>
    <s v="Current Employees"/>
    <x v="1"/>
    <x v="2"/>
    <s v="STAFF-2003"/>
    <x v="1324"/>
    <x v="1"/>
    <x v="2"/>
    <x v="1"/>
    <s v="Yes"/>
    <s v="Y"/>
    <n v="3"/>
    <n v="-2"/>
    <n v="0"/>
    <x v="10"/>
    <n v="0"/>
    <m/>
    <n v="0"/>
    <n v="1"/>
    <n v="1490"/>
    <n v="11"/>
    <x v="2"/>
    <n v="1"/>
    <n v="4"/>
    <n v="43"/>
    <n v="3"/>
    <n v="1"/>
    <n v="3"/>
    <n v="2660"/>
    <n v="20232"/>
    <n v="7"/>
    <n v="11"/>
    <n v="3"/>
    <n v="3"/>
    <n v="80"/>
    <n v="1"/>
    <n v="5"/>
    <n v="3"/>
    <n v="2"/>
    <n v="2"/>
    <n v="2"/>
    <n v="2"/>
  </r>
  <r>
    <s v="No"/>
    <s v="Travel_Rarely"/>
    <x v="1"/>
    <s v="Current Employees"/>
    <x v="1"/>
    <x v="4"/>
    <s v="STAFF-1465"/>
    <x v="1325"/>
    <x v="1"/>
    <x v="3"/>
    <x v="1"/>
    <s v="Yes"/>
    <s v="Y"/>
    <n v="4"/>
    <n v="-2"/>
    <n v="0"/>
    <x v="28"/>
    <n v="0"/>
    <m/>
    <n v="0"/>
    <n v="1"/>
    <n v="1448"/>
    <n v="29"/>
    <x v="3"/>
    <n v="1"/>
    <n v="4"/>
    <n v="55"/>
    <n v="3"/>
    <n v="3"/>
    <n v="4"/>
    <n v="9380"/>
    <n v="14720"/>
    <n v="4"/>
    <n v="18"/>
    <n v="3"/>
    <n v="4"/>
    <n v="80"/>
    <n v="2"/>
    <n v="10"/>
    <n v="4"/>
    <n v="3"/>
    <n v="1"/>
    <n v="1"/>
    <n v="2"/>
  </r>
  <r>
    <s v="No"/>
    <s v="Travel_Rarely"/>
    <x v="2"/>
    <s v="Current Employees"/>
    <x v="1"/>
    <x v="2"/>
    <s v="STAFF-1755"/>
    <x v="1326"/>
    <x v="1"/>
    <x v="1"/>
    <x v="1"/>
    <s v="Yes"/>
    <s v="Y"/>
    <n v="3"/>
    <n v="-2"/>
    <n v="0"/>
    <x v="13"/>
    <n v="0"/>
    <m/>
    <n v="0"/>
    <n v="1"/>
    <n v="181"/>
    <n v="2"/>
    <x v="2"/>
    <n v="1"/>
    <n v="4"/>
    <n v="97"/>
    <n v="4"/>
    <n v="1"/>
    <n v="4"/>
    <n v="2932"/>
    <n v="5586"/>
    <n v="0"/>
    <n v="14"/>
    <n v="3"/>
    <n v="1"/>
    <n v="80"/>
    <n v="3"/>
    <n v="6"/>
    <n v="3"/>
    <n v="5"/>
    <n v="0"/>
    <n v="1"/>
    <n v="2"/>
  </r>
  <r>
    <s v="No"/>
    <s v="Travel_Rarely"/>
    <x v="2"/>
    <s v="Current Employees"/>
    <x v="1"/>
    <x v="2"/>
    <s v="STAFF-1586"/>
    <x v="1327"/>
    <x v="1"/>
    <x v="2"/>
    <x v="0"/>
    <s v="Yes"/>
    <s v="Y"/>
    <n v="3"/>
    <n v="-2"/>
    <n v="0"/>
    <x v="11"/>
    <n v="0"/>
    <m/>
    <n v="0"/>
    <n v="1"/>
    <n v="1370"/>
    <n v="3"/>
    <x v="1"/>
    <n v="1"/>
    <n v="2"/>
    <n v="87"/>
    <n v="3"/>
    <n v="1"/>
    <n v="1"/>
    <n v="4723"/>
    <n v="16213"/>
    <n v="1"/>
    <n v="18"/>
    <n v="3"/>
    <n v="4"/>
    <n v="80"/>
    <n v="0"/>
    <n v="10"/>
    <n v="3"/>
    <n v="10"/>
    <n v="9"/>
    <n v="1"/>
    <n v="5"/>
  </r>
  <r>
    <s v="No"/>
    <s v="Travel_Rarely"/>
    <x v="0"/>
    <s v="Current Employees"/>
    <x v="1"/>
    <x v="2"/>
    <s v="STAFF-2020"/>
    <x v="1328"/>
    <x v="1"/>
    <x v="1"/>
    <x v="0"/>
    <s v="Yes"/>
    <s v="Y"/>
    <n v="2"/>
    <n v="-2"/>
    <n v="0"/>
    <x v="20"/>
    <n v="0"/>
    <m/>
    <n v="0"/>
    <n v="1"/>
    <n v="1037"/>
    <n v="1"/>
    <x v="3"/>
    <n v="1"/>
    <n v="2"/>
    <n v="42"/>
    <n v="3"/>
    <n v="1"/>
    <n v="4"/>
    <n v="2436"/>
    <n v="13422"/>
    <n v="6"/>
    <n v="12"/>
    <n v="3"/>
    <n v="3"/>
    <n v="80"/>
    <n v="0"/>
    <n v="6"/>
    <n v="3"/>
    <n v="4"/>
    <n v="3"/>
    <n v="1"/>
    <n v="2"/>
  </r>
  <r>
    <s v="No"/>
    <s v="Travel_Rarely"/>
    <x v="2"/>
    <s v="Current Employees"/>
    <x v="1"/>
    <x v="0"/>
    <s v="STAFF-1515"/>
    <x v="1329"/>
    <x v="1"/>
    <x v="4"/>
    <x v="0"/>
    <s v="Yes"/>
    <s v="Y"/>
    <n v="6"/>
    <n v="-2"/>
    <n v="0"/>
    <x v="3"/>
    <n v="0"/>
    <m/>
    <n v="0"/>
    <n v="1"/>
    <n v="516"/>
    <n v="8"/>
    <x v="4"/>
    <n v="1"/>
    <n v="4"/>
    <n v="69"/>
    <n v="3"/>
    <n v="2"/>
    <n v="3"/>
    <n v="6388"/>
    <n v="22049"/>
    <n v="2"/>
    <n v="17"/>
    <n v="3"/>
    <n v="1"/>
    <n v="80"/>
    <n v="0"/>
    <n v="14"/>
    <n v="3"/>
    <n v="0"/>
    <n v="0"/>
    <n v="0"/>
    <n v="0"/>
  </r>
  <r>
    <s v="No"/>
    <s v="Travel_Rarely"/>
    <x v="2"/>
    <s v="Current Employees"/>
    <x v="0"/>
    <x v="2"/>
    <s v="STAFF-1669"/>
    <x v="1330"/>
    <x v="1"/>
    <x v="0"/>
    <x v="2"/>
    <s v="Yes"/>
    <s v="Y"/>
    <n v="3"/>
    <n v="-2"/>
    <n v="0"/>
    <x v="11"/>
    <n v="0"/>
    <m/>
    <n v="0"/>
    <n v="1"/>
    <n v="991"/>
    <n v="5"/>
    <x v="3"/>
    <n v="1"/>
    <n v="1"/>
    <n v="43"/>
    <n v="2"/>
    <n v="2"/>
    <n v="2"/>
    <n v="4187"/>
    <n v="3356"/>
    <n v="1"/>
    <n v="13"/>
    <n v="3"/>
    <n v="2"/>
    <n v="80"/>
    <n v="1"/>
    <n v="10"/>
    <n v="2"/>
    <n v="10"/>
    <n v="0"/>
    <n v="0"/>
    <n v="9"/>
  </r>
  <r>
    <s v="No"/>
    <s v="Travel_Rarely"/>
    <x v="1"/>
    <s v="Current Employees"/>
    <x v="0"/>
    <x v="0"/>
    <s v="STAFF-1732"/>
    <x v="1331"/>
    <x v="1"/>
    <x v="0"/>
    <x v="2"/>
    <s v="Yes"/>
    <s v="Y"/>
    <n v="5"/>
    <n v="-2"/>
    <n v="0"/>
    <x v="21"/>
    <n v="0"/>
    <m/>
    <n v="0"/>
    <n v="1"/>
    <n v="1277"/>
    <n v="2"/>
    <x v="3"/>
    <n v="1"/>
    <n v="3"/>
    <n v="74"/>
    <n v="3"/>
    <n v="3"/>
    <n v="4"/>
    <n v="10368"/>
    <n v="5596"/>
    <n v="4"/>
    <n v="12"/>
    <n v="3"/>
    <n v="2"/>
    <n v="80"/>
    <n v="1"/>
    <n v="13"/>
    <n v="2"/>
    <n v="10"/>
    <n v="6"/>
    <n v="0"/>
    <n v="3"/>
  </r>
  <r>
    <s v="No"/>
    <s v="Travel_Rarely"/>
    <x v="0"/>
    <s v="Current Employees"/>
    <x v="0"/>
    <x v="3"/>
    <s v="STAFF-1943"/>
    <x v="1332"/>
    <x v="1"/>
    <x v="0"/>
    <x v="2"/>
    <s v="Yes"/>
    <s v="Y"/>
    <n v="4"/>
    <n v="-2"/>
    <n v="0"/>
    <x v="19"/>
    <n v="0"/>
    <m/>
    <n v="0"/>
    <n v="1"/>
    <n v="419"/>
    <n v="12"/>
    <x v="2"/>
    <n v="1"/>
    <n v="2"/>
    <n v="77"/>
    <n v="3"/>
    <n v="2"/>
    <n v="1"/>
    <n v="5087"/>
    <n v="2900"/>
    <n v="3"/>
    <n v="12"/>
    <n v="3"/>
    <n v="3"/>
    <n v="80"/>
    <n v="2"/>
    <n v="14"/>
    <n v="3"/>
    <n v="0"/>
    <n v="0"/>
    <n v="0"/>
    <n v="0"/>
  </r>
  <r>
    <s v="No"/>
    <s v="Travel_Rarely"/>
    <x v="2"/>
    <s v="Current Employees"/>
    <x v="0"/>
    <x v="4"/>
    <s v="STAFF-1535"/>
    <x v="1333"/>
    <x v="1"/>
    <x v="0"/>
    <x v="1"/>
    <s v="Yes"/>
    <s v="Y"/>
    <n v="3"/>
    <n v="-2"/>
    <n v="0"/>
    <x v="13"/>
    <n v="0"/>
    <m/>
    <n v="0"/>
    <n v="1"/>
    <n v="971"/>
    <n v="1"/>
    <x v="3"/>
    <n v="1"/>
    <n v="4"/>
    <n v="64"/>
    <n v="2"/>
    <n v="3"/>
    <n v="4"/>
    <n v="7083"/>
    <n v="12288"/>
    <n v="1"/>
    <n v="14"/>
    <n v="3"/>
    <n v="4"/>
    <n v="80"/>
    <n v="0"/>
    <n v="10"/>
    <n v="3"/>
    <n v="10"/>
    <n v="9"/>
    <n v="8"/>
    <n v="6"/>
  </r>
  <r>
    <s v="No"/>
    <s v="Travel_Rarely"/>
    <x v="1"/>
    <s v="Current Employees"/>
    <x v="0"/>
    <x v="3"/>
    <s v="STAFF-1591"/>
    <x v="1334"/>
    <x v="1"/>
    <x v="5"/>
    <x v="1"/>
    <s v="Yes"/>
    <s v="Y"/>
    <n v="2"/>
    <n v="-2"/>
    <n v="0"/>
    <x v="24"/>
    <n v="0"/>
    <m/>
    <n v="0"/>
    <n v="1"/>
    <n v="264"/>
    <n v="9"/>
    <x v="3"/>
    <n v="1"/>
    <n v="3"/>
    <n v="59"/>
    <n v="3"/>
    <n v="5"/>
    <n v="1"/>
    <n v="19331"/>
    <n v="19519"/>
    <n v="4"/>
    <n v="16"/>
    <n v="3"/>
    <n v="3"/>
    <n v="80"/>
    <n v="1"/>
    <n v="27"/>
    <n v="3"/>
    <n v="1"/>
    <n v="0"/>
    <n v="0"/>
    <n v="0"/>
  </r>
  <r>
    <s v="No"/>
    <s v="Travel_Rarely"/>
    <x v="0"/>
    <s v="Current Employees"/>
    <x v="0"/>
    <x v="2"/>
    <s v="STAFF-1706"/>
    <x v="1335"/>
    <x v="1"/>
    <x v="0"/>
    <x v="1"/>
    <s v="Yes"/>
    <s v="Y"/>
    <n v="3"/>
    <n v="-2"/>
    <n v="0"/>
    <x v="23"/>
    <n v="0"/>
    <m/>
    <n v="0"/>
    <n v="1"/>
    <n v="1179"/>
    <n v="2"/>
    <x v="3"/>
    <n v="1"/>
    <n v="4"/>
    <n v="73"/>
    <n v="3"/>
    <n v="2"/>
    <n v="4"/>
    <n v="7847"/>
    <n v="6069"/>
    <n v="1"/>
    <n v="17"/>
    <n v="3"/>
    <n v="1"/>
    <n v="80"/>
    <n v="1"/>
    <n v="10"/>
    <n v="3"/>
    <n v="10"/>
    <n v="9"/>
    <n v="8"/>
    <n v="8"/>
  </r>
  <r>
    <s v="No"/>
    <s v="Travel_Rarely"/>
    <x v="2"/>
    <s v="Current Employees"/>
    <x v="0"/>
    <x v="0"/>
    <s v="STAFF-1882"/>
    <x v="1336"/>
    <x v="1"/>
    <x v="0"/>
    <x v="1"/>
    <s v="Yes"/>
    <s v="Y"/>
    <n v="3"/>
    <n v="-2"/>
    <n v="0"/>
    <x v="13"/>
    <n v="0"/>
    <m/>
    <n v="0"/>
    <n v="1"/>
    <n v="1480"/>
    <n v="4"/>
    <x v="3"/>
    <n v="1"/>
    <n v="3"/>
    <n v="64"/>
    <n v="3"/>
    <n v="3"/>
    <n v="4"/>
    <n v="9713"/>
    <n v="24444"/>
    <n v="2"/>
    <n v="13"/>
    <n v="3"/>
    <n v="4"/>
    <n v="80"/>
    <n v="3"/>
    <n v="9"/>
    <n v="3"/>
    <n v="5"/>
    <n v="3"/>
    <n v="1"/>
    <n v="0"/>
  </r>
  <r>
    <s v="No"/>
    <s v="Travel_Rarely"/>
    <x v="4"/>
    <s v="Current Employees"/>
    <x v="0"/>
    <x v="2"/>
    <s v="STAFF-2021"/>
    <x v="1337"/>
    <x v="1"/>
    <x v="6"/>
    <x v="0"/>
    <s v="Yes"/>
    <s v="Y"/>
    <n v="6"/>
    <n v="-2"/>
    <n v="0"/>
    <x v="18"/>
    <n v="0"/>
    <m/>
    <n v="0"/>
    <n v="1"/>
    <n v="501"/>
    <n v="5"/>
    <x v="1"/>
    <n v="1"/>
    <n v="3"/>
    <n v="58"/>
    <n v="3"/>
    <n v="1"/>
    <n v="1"/>
    <n v="2380"/>
    <n v="25479"/>
    <n v="1"/>
    <n v="11"/>
    <n v="3"/>
    <n v="4"/>
    <n v="80"/>
    <n v="0"/>
    <n v="2"/>
    <n v="3"/>
    <n v="2"/>
    <n v="2"/>
    <n v="1"/>
    <n v="2"/>
  </r>
  <r>
    <s v="No"/>
    <s v="Travel_Rarely"/>
    <x v="0"/>
    <s v="Current Employees"/>
    <x v="0"/>
    <x v="0"/>
    <s v="STAFF-1678"/>
    <x v="1338"/>
    <x v="1"/>
    <x v="0"/>
    <x v="0"/>
    <s v="Yes"/>
    <s v="Y"/>
    <n v="2"/>
    <n v="-2"/>
    <n v="0"/>
    <x v="0"/>
    <n v="0"/>
    <m/>
    <n v="0"/>
    <n v="1"/>
    <n v="1206"/>
    <n v="23"/>
    <x v="0"/>
    <n v="1"/>
    <n v="4"/>
    <n v="80"/>
    <n v="3"/>
    <n v="3"/>
    <n v="3"/>
    <n v="7082"/>
    <n v="11591"/>
    <n v="3"/>
    <n v="16"/>
    <n v="3"/>
    <n v="4"/>
    <n v="80"/>
    <n v="0"/>
    <n v="21"/>
    <n v="3"/>
    <n v="2"/>
    <n v="0"/>
    <n v="0"/>
    <n v="2"/>
  </r>
  <r>
    <s v="No"/>
    <s v="Non-Travel"/>
    <x v="2"/>
    <s v="Current Employees"/>
    <x v="1"/>
    <x v="2"/>
    <s v="STAFF-1979"/>
    <x v="1339"/>
    <x v="0"/>
    <x v="7"/>
    <x v="1"/>
    <s v="No"/>
    <s v="Y"/>
    <n v="2"/>
    <n v="-2"/>
    <n v="0"/>
    <x v="12"/>
    <n v="0"/>
    <m/>
    <n v="0"/>
    <n v="1"/>
    <n v="697"/>
    <n v="10"/>
    <x v="3"/>
    <n v="1"/>
    <n v="3"/>
    <n v="40"/>
    <n v="3"/>
    <n v="3"/>
    <n v="3"/>
    <n v="11031"/>
    <n v="26862"/>
    <n v="4"/>
    <n v="20"/>
    <n v="4"/>
    <n v="3"/>
    <n v="80"/>
    <n v="1"/>
    <n v="13"/>
    <n v="4"/>
    <n v="11"/>
    <n v="7"/>
    <n v="4"/>
    <n v="8"/>
  </r>
  <r>
    <s v="No"/>
    <s v="Non-Travel"/>
    <x v="1"/>
    <s v="Current Employees"/>
    <x v="0"/>
    <x v="0"/>
    <s v="STAFF-1845"/>
    <x v="1340"/>
    <x v="0"/>
    <x v="0"/>
    <x v="1"/>
    <s v="No"/>
    <s v="Y"/>
    <n v="3"/>
    <n v="-2"/>
    <n v="0"/>
    <x v="28"/>
    <n v="0"/>
    <m/>
    <n v="0"/>
    <n v="1"/>
    <n v="589"/>
    <n v="2"/>
    <x v="2"/>
    <n v="1"/>
    <n v="3"/>
    <n v="67"/>
    <n v="3"/>
    <n v="2"/>
    <n v="3"/>
    <n v="5154"/>
    <n v="19665"/>
    <n v="4"/>
    <n v="22"/>
    <n v="4"/>
    <n v="2"/>
    <n v="80"/>
    <n v="2"/>
    <n v="10"/>
    <n v="4"/>
    <n v="8"/>
    <n v="7"/>
    <n v="5"/>
    <n v="7"/>
  </r>
  <r>
    <s v="No"/>
    <s v="Travel_Frequently"/>
    <x v="1"/>
    <s v="Current Employees"/>
    <x v="1"/>
    <x v="2"/>
    <s v="STAFF-1520"/>
    <x v="1341"/>
    <x v="0"/>
    <x v="5"/>
    <x v="2"/>
    <s v="No"/>
    <s v="Y"/>
    <n v="2"/>
    <n v="-2"/>
    <n v="0"/>
    <x v="33"/>
    <n v="0"/>
    <m/>
    <n v="0"/>
    <n v="1"/>
    <n v="1050"/>
    <n v="11"/>
    <x v="2"/>
    <n v="1"/>
    <n v="2"/>
    <n v="87"/>
    <n v="3"/>
    <n v="4"/>
    <n v="4"/>
    <n v="16032"/>
    <n v="24456"/>
    <n v="3"/>
    <n v="20"/>
    <n v="4"/>
    <n v="1"/>
    <n v="80"/>
    <n v="1"/>
    <n v="26"/>
    <n v="3"/>
    <n v="14"/>
    <n v="9"/>
    <n v="1"/>
    <n v="12"/>
  </r>
  <r>
    <s v="No"/>
    <s v="Travel_Frequently"/>
    <x v="0"/>
    <s v="Current Employees"/>
    <x v="1"/>
    <x v="2"/>
    <s v="STAFF-1675"/>
    <x v="1342"/>
    <x v="0"/>
    <x v="2"/>
    <x v="0"/>
    <s v="No"/>
    <s v="Y"/>
    <n v="3"/>
    <n v="-2"/>
    <n v="0"/>
    <x v="8"/>
    <n v="0"/>
    <m/>
    <n v="0"/>
    <n v="1"/>
    <n v="148"/>
    <n v="2"/>
    <x v="3"/>
    <n v="1"/>
    <n v="4"/>
    <n v="42"/>
    <n v="2"/>
    <n v="1"/>
    <n v="2"/>
    <n v="2440"/>
    <n v="23826"/>
    <n v="1"/>
    <n v="22"/>
    <n v="4"/>
    <n v="2"/>
    <n v="80"/>
    <n v="0"/>
    <n v="4"/>
    <n v="3"/>
    <n v="4"/>
    <n v="3"/>
    <n v="3"/>
    <n v="3"/>
  </r>
  <r>
    <s v="No"/>
    <s v="Travel_Frequently"/>
    <x v="2"/>
    <s v="Current Employees"/>
    <x v="1"/>
    <x v="4"/>
    <s v="STAFF-1736"/>
    <x v="1343"/>
    <x v="0"/>
    <x v="3"/>
    <x v="0"/>
    <s v="No"/>
    <s v="Y"/>
    <n v="3"/>
    <n v="-2"/>
    <n v="0"/>
    <x v="12"/>
    <n v="0"/>
    <m/>
    <n v="0"/>
    <n v="1"/>
    <n v="163"/>
    <n v="24"/>
    <x v="1"/>
    <n v="1"/>
    <n v="4"/>
    <n v="30"/>
    <n v="3"/>
    <n v="2"/>
    <n v="4"/>
    <n v="5238"/>
    <n v="6670"/>
    <n v="2"/>
    <n v="20"/>
    <n v="4"/>
    <n v="4"/>
    <n v="80"/>
    <n v="0"/>
    <n v="9"/>
    <n v="2"/>
    <n v="5"/>
    <n v="4"/>
    <n v="1"/>
    <n v="4"/>
  </r>
  <r>
    <s v="No"/>
    <s v="Travel_Rarely"/>
    <x v="1"/>
    <s v="Current Employees"/>
    <x v="2"/>
    <x v="0"/>
    <s v="STAFF-1744"/>
    <x v="1344"/>
    <x v="0"/>
    <x v="8"/>
    <x v="1"/>
    <s v="No"/>
    <s v="Y"/>
    <n v="2"/>
    <n v="-2"/>
    <n v="0"/>
    <x v="28"/>
    <n v="0"/>
    <m/>
    <n v="0"/>
    <n v="1"/>
    <n v="176"/>
    <n v="4"/>
    <x v="3"/>
    <n v="1"/>
    <n v="3"/>
    <n v="56"/>
    <n v="1"/>
    <n v="3"/>
    <n v="3"/>
    <n v="9756"/>
    <n v="6595"/>
    <n v="4"/>
    <n v="21"/>
    <n v="4"/>
    <n v="3"/>
    <n v="80"/>
    <n v="2"/>
    <n v="9"/>
    <n v="4"/>
    <n v="5"/>
    <n v="0"/>
    <n v="0"/>
    <n v="3"/>
  </r>
  <r>
    <s v="No"/>
    <s v="Travel_Rarely"/>
    <x v="2"/>
    <s v="Current Employees"/>
    <x v="1"/>
    <x v="2"/>
    <s v="STAFF-1622"/>
    <x v="1345"/>
    <x v="0"/>
    <x v="3"/>
    <x v="2"/>
    <s v="No"/>
    <s v="Y"/>
    <n v="5"/>
    <n v="-2"/>
    <n v="0"/>
    <x v="14"/>
    <n v="0"/>
    <m/>
    <n v="0"/>
    <n v="1"/>
    <n v="580"/>
    <n v="27"/>
    <x v="3"/>
    <n v="1"/>
    <n v="2"/>
    <n v="39"/>
    <n v="1"/>
    <n v="2"/>
    <n v="1"/>
    <n v="4877"/>
    <n v="20460"/>
    <n v="0"/>
    <n v="21"/>
    <n v="4"/>
    <n v="2"/>
    <n v="80"/>
    <n v="1"/>
    <n v="6"/>
    <n v="2"/>
    <n v="5"/>
    <n v="3"/>
    <n v="0"/>
    <n v="0"/>
  </r>
  <r>
    <s v="No"/>
    <s v="Travel_Rarely"/>
    <x v="2"/>
    <s v="Current Employees"/>
    <x v="1"/>
    <x v="0"/>
    <s v="STAFF-1581"/>
    <x v="1346"/>
    <x v="0"/>
    <x v="1"/>
    <x v="1"/>
    <s v="No"/>
    <s v="Y"/>
    <n v="5"/>
    <n v="-2"/>
    <n v="0"/>
    <x v="25"/>
    <n v="0"/>
    <m/>
    <n v="0"/>
    <n v="1"/>
    <n v="474"/>
    <n v="3"/>
    <x v="3"/>
    <n v="1"/>
    <n v="1"/>
    <n v="89"/>
    <n v="3"/>
    <n v="1"/>
    <n v="4"/>
    <n v="2061"/>
    <n v="11133"/>
    <n v="1"/>
    <n v="21"/>
    <n v="4"/>
    <n v="1"/>
    <n v="80"/>
    <n v="0"/>
    <n v="1"/>
    <n v="3"/>
    <n v="1"/>
    <n v="0"/>
    <n v="0"/>
    <n v="0"/>
  </r>
  <r>
    <s v="No"/>
    <s v="Travel_Rarely"/>
    <x v="0"/>
    <s v="Current Employees"/>
    <x v="1"/>
    <x v="0"/>
    <s v="STAFF-2034"/>
    <x v="1347"/>
    <x v="0"/>
    <x v="3"/>
    <x v="1"/>
    <s v="No"/>
    <s v="Y"/>
    <n v="3"/>
    <n v="-2"/>
    <n v="0"/>
    <x v="0"/>
    <n v="0"/>
    <m/>
    <n v="0"/>
    <n v="1"/>
    <n v="582"/>
    <n v="28"/>
    <x v="2"/>
    <n v="1"/>
    <n v="1"/>
    <n v="60"/>
    <n v="2"/>
    <n v="4"/>
    <n v="2"/>
    <n v="13570"/>
    <n v="5640"/>
    <n v="0"/>
    <n v="23"/>
    <n v="4"/>
    <n v="3"/>
    <n v="80"/>
    <n v="1"/>
    <n v="21"/>
    <n v="3"/>
    <n v="20"/>
    <n v="7"/>
    <n v="0"/>
    <n v="10"/>
  </r>
  <r>
    <s v="No"/>
    <s v="Travel_Rarely"/>
    <x v="3"/>
    <s v="Current Employees"/>
    <x v="1"/>
    <x v="0"/>
    <s v="STAFF-1441"/>
    <x v="1348"/>
    <x v="0"/>
    <x v="1"/>
    <x v="1"/>
    <s v="No"/>
    <s v="Y"/>
    <n v="3"/>
    <n v="-2"/>
    <n v="0"/>
    <x v="29"/>
    <n v="0"/>
    <m/>
    <n v="0"/>
    <n v="1"/>
    <n v="1255"/>
    <n v="1"/>
    <x v="0"/>
    <n v="1"/>
    <n v="1"/>
    <n v="90"/>
    <n v="3"/>
    <n v="1"/>
    <n v="1"/>
    <n v="2066"/>
    <n v="10494"/>
    <n v="2"/>
    <n v="22"/>
    <n v="4"/>
    <n v="4"/>
    <n v="80"/>
    <n v="1"/>
    <n v="5"/>
    <n v="4"/>
    <n v="3"/>
    <n v="2"/>
    <n v="1"/>
    <n v="0"/>
  </r>
  <r>
    <s v="No"/>
    <s v="Travel_Rarely"/>
    <x v="1"/>
    <s v="Current Employees"/>
    <x v="1"/>
    <x v="2"/>
    <s v="STAFF-1665"/>
    <x v="1349"/>
    <x v="0"/>
    <x v="5"/>
    <x v="1"/>
    <s v="No"/>
    <s v="Y"/>
    <n v="6"/>
    <n v="-2"/>
    <n v="0"/>
    <x v="33"/>
    <n v="0"/>
    <m/>
    <n v="0"/>
    <n v="1"/>
    <n v="584"/>
    <n v="22"/>
    <x v="4"/>
    <n v="1"/>
    <n v="2"/>
    <n v="91"/>
    <n v="3"/>
    <n v="4"/>
    <n v="3"/>
    <n v="17426"/>
    <n v="18685"/>
    <n v="3"/>
    <n v="25"/>
    <n v="4"/>
    <n v="3"/>
    <n v="80"/>
    <n v="1"/>
    <n v="36"/>
    <n v="3"/>
    <n v="10"/>
    <n v="8"/>
    <n v="4"/>
    <n v="7"/>
  </r>
  <r>
    <s v="No"/>
    <s v="Travel_Rarely"/>
    <x v="1"/>
    <s v="Current Employees"/>
    <x v="1"/>
    <x v="2"/>
    <s v="STAFF-1509"/>
    <x v="1350"/>
    <x v="0"/>
    <x v="2"/>
    <x v="1"/>
    <s v="No"/>
    <s v="Y"/>
    <n v="3"/>
    <n v="-2"/>
    <n v="0"/>
    <x v="1"/>
    <n v="0"/>
    <m/>
    <n v="0"/>
    <n v="1"/>
    <n v="271"/>
    <n v="3"/>
    <x v="0"/>
    <n v="1"/>
    <n v="3"/>
    <n v="43"/>
    <n v="2"/>
    <n v="2"/>
    <n v="1"/>
    <n v="4789"/>
    <n v="23070"/>
    <n v="4"/>
    <n v="25"/>
    <n v="4"/>
    <n v="1"/>
    <n v="80"/>
    <n v="1"/>
    <n v="10"/>
    <n v="3"/>
    <n v="3"/>
    <n v="2"/>
    <n v="1"/>
    <n v="2"/>
  </r>
  <r>
    <s v="No"/>
    <s v="Travel_Rarely"/>
    <x v="2"/>
    <s v="Current Employees"/>
    <x v="1"/>
    <x v="2"/>
    <s v="STAFF-1834"/>
    <x v="1351"/>
    <x v="0"/>
    <x v="1"/>
    <x v="1"/>
    <s v="No"/>
    <s v="Y"/>
    <n v="3"/>
    <n v="-2"/>
    <n v="0"/>
    <x v="14"/>
    <n v="0"/>
    <m/>
    <n v="0"/>
    <n v="1"/>
    <n v="1217"/>
    <n v="1"/>
    <x v="3"/>
    <n v="1"/>
    <n v="3"/>
    <n v="67"/>
    <n v="3"/>
    <n v="1"/>
    <n v="1"/>
    <n v="3591"/>
    <n v="12719"/>
    <n v="1"/>
    <n v="25"/>
    <n v="4"/>
    <n v="3"/>
    <n v="80"/>
    <n v="1"/>
    <n v="3"/>
    <n v="3"/>
    <n v="3"/>
    <n v="2"/>
    <n v="1"/>
    <n v="2"/>
  </r>
  <r>
    <s v="No"/>
    <s v="Travel_Rarely"/>
    <x v="2"/>
    <s v="Current Employees"/>
    <x v="0"/>
    <x v="2"/>
    <s v="STAFF-1864"/>
    <x v="1352"/>
    <x v="0"/>
    <x v="6"/>
    <x v="1"/>
    <s v="No"/>
    <s v="Y"/>
    <n v="5"/>
    <n v="-2"/>
    <n v="0"/>
    <x v="4"/>
    <n v="0"/>
    <m/>
    <n v="0"/>
    <n v="1"/>
    <n v="728"/>
    <n v="23"/>
    <x v="1"/>
    <n v="1"/>
    <n v="2"/>
    <n v="36"/>
    <n v="2"/>
    <n v="2"/>
    <n v="3"/>
    <n v="3540"/>
    <n v="7018"/>
    <n v="1"/>
    <n v="21"/>
    <n v="4"/>
    <n v="4"/>
    <n v="80"/>
    <n v="1"/>
    <n v="9"/>
    <n v="3"/>
    <n v="9"/>
    <n v="8"/>
    <n v="5"/>
    <n v="8"/>
  </r>
  <r>
    <s v="No"/>
    <s v="Travel_Rarely"/>
    <x v="0"/>
    <s v="Current Employees"/>
    <x v="0"/>
    <x v="3"/>
    <s v="STAFF-1909"/>
    <x v="1353"/>
    <x v="0"/>
    <x v="0"/>
    <x v="1"/>
    <s v="No"/>
    <s v="Y"/>
    <n v="3"/>
    <n v="-2"/>
    <n v="0"/>
    <x v="0"/>
    <n v="0"/>
    <m/>
    <n v="0"/>
    <n v="1"/>
    <n v="337"/>
    <n v="8"/>
    <x v="3"/>
    <n v="1"/>
    <n v="3"/>
    <n v="54"/>
    <n v="3"/>
    <n v="2"/>
    <n v="1"/>
    <n v="4393"/>
    <n v="26841"/>
    <n v="5"/>
    <n v="21"/>
    <n v="4"/>
    <n v="3"/>
    <n v="80"/>
    <n v="1"/>
    <n v="14"/>
    <n v="3"/>
    <n v="5"/>
    <n v="4"/>
    <n v="1"/>
    <n v="4"/>
  </r>
  <r>
    <s v="No"/>
    <s v="Travel_Rarely"/>
    <x v="0"/>
    <s v="Current Employees"/>
    <x v="0"/>
    <x v="0"/>
    <s v="STAFF-1554"/>
    <x v="1354"/>
    <x v="0"/>
    <x v="6"/>
    <x v="1"/>
    <s v="No"/>
    <s v="Y"/>
    <n v="5"/>
    <n v="-2"/>
    <n v="0"/>
    <x v="10"/>
    <n v="0"/>
    <m/>
    <n v="0"/>
    <n v="1"/>
    <n v="1402"/>
    <n v="28"/>
    <x v="2"/>
    <n v="1"/>
    <n v="2"/>
    <n v="98"/>
    <n v="2"/>
    <n v="1"/>
    <n v="3"/>
    <n v="2430"/>
    <n v="26204"/>
    <n v="0"/>
    <n v="23"/>
    <n v="4"/>
    <n v="1"/>
    <n v="80"/>
    <n v="2"/>
    <n v="6"/>
    <n v="3"/>
    <n v="5"/>
    <n v="3"/>
    <n v="4"/>
    <n v="2"/>
  </r>
  <r>
    <s v="No"/>
    <s v="Travel_Rarely"/>
    <x v="2"/>
    <s v="Current Employees"/>
    <x v="0"/>
    <x v="3"/>
    <s v="STAFF-2035"/>
    <x v="1355"/>
    <x v="0"/>
    <x v="0"/>
    <x v="1"/>
    <s v="No"/>
    <s v="Y"/>
    <n v="2"/>
    <n v="-2"/>
    <n v="0"/>
    <x v="13"/>
    <n v="0"/>
    <m/>
    <n v="0"/>
    <n v="1"/>
    <n v="704"/>
    <n v="28"/>
    <x v="3"/>
    <n v="1"/>
    <n v="4"/>
    <n v="95"/>
    <n v="2"/>
    <n v="2"/>
    <n v="1"/>
    <n v="6712"/>
    <n v="8978"/>
    <n v="1"/>
    <n v="21"/>
    <n v="4"/>
    <n v="4"/>
    <n v="80"/>
    <n v="2"/>
    <n v="8"/>
    <n v="3"/>
    <n v="8"/>
    <n v="7"/>
    <n v="1"/>
    <n v="7"/>
  </r>
  <r>
    <s v="No"/>
    <s v="Non-Travel"/>
    <x v="3"/>
    <s v="Current Employees"/>
    <x v="1"/>
    <x v="0"/>
    <s v="STAFF-2026"/>
    <x v="1356"/>
    <x v="1"/>
    <x v="4"/>
    <x v="2"/>
    <s v="No"/>
    <s v="Y"/>
    <n v="2"/>
    <n v="-2"/>
    <n v="0"/>
    <x v="29"/>
    <n v="0"/>
    <m/>
    <n v="0"/>
    <n v="1"/>
    <n v="667"/>
    <n v="1"/>
    <x v="2"/>
    <n v="1"/>
    <n v="3"/>
    <n v="57"/>
    <n v="3"/>
    <n v="2"/>
    <n v="3"/>
    <n v="6306"/>
    <n v="26236"/>
    <n v="1"/>
    <n v="21"/>
    <n v="4"/>
    <n v="1"/>
    <n v="80"/>
    <n v="1"/>
    <n v="13"/>
    <n v="2"/>
    <n v="13"/>
    <n v="12"/>
    <n v="1"/>
    <n v="9"/>
  </r>
  <r>
    <s v="No"/>
    <s v="Non-Travel"/>
    <x v="0"/>
    <s v="Current Employees"/>
    <x v="1"/>
    <x v="0"/>
    <s v="STAFF-1949"/>
    <x v="1357"/>
    <x v="1"/>
    <x v="2"/>
    <x v="1"/>
    <s v="No"/>
    <s v="Y"/>
    <n v="3"/>
    <n v="-2"/>
    <n v="0"/>
    <x v="9"/>
    <n v="0"/>
    <m/>
    <n v="0"/>
    <n v="1"/>
    <n v="1351"/>
    <n v="9"/>
    <x v="2"/>
    <n v="1"/>
    <n v="1"/>
    <n v="66"/>
    <n v="4"/>
    <n v="1"/>
    <n v="2"/>
    <n v="2810"/>
    <n v="9238"/>
    <n v="1"/>
    <n v="22"/>
    <n v="4"/>
    <n v="2"/>
    <n v="80"/>
    <n v="0"/>
    <n v="5"/>
    <n v="3"/>
    <n v="5"/>
    <n v="4"/>
    <n v="0"/>
    <n v="2"/>
  </r>
  <r>
    <s v="No"/>
    <s v="Non-Travel"/>
    <x v="1"/>
    <s v="Current Employees"/>
    <x v="1"/>
    <x v="0"/>
    <s v="STAFF-1712"/>
    <x v="1358"/>
    <x v="1"/>
    <x v="4"/>
    <x v="1"/>
    <s v="No"/>
    <s v="Y"/>
    <n v="3"/>
    <n v="-2"/>
    <n v="0"/>
    <x v="28"/>
    <n v="0"/>
    <m/>
    <n v="0"/>
    <n v="1"/>
    <n v="1238"/>
    <n v="1"/>
    <x v="1"/>
    <n v="1"/>
    <n v="3"/>
    <n v="74"/>
    <n v="2"/>
    <n v="3"/>
    <n v="3"/>
    <n v="10748"/>
    <n v="3395"/>
    <n v="3"/>
    <n v="23"/>
    <n v="4"/>
    <n v="4"/>
    <n v="80"/>
    <n v="1"/>
    <n v="25"/>
    <n v="2"/>
    <n v="23"/>
    <n v="15"/>
    <n v="14"/>
    <n v="4"/>
  </r>
  <r>
    <s v="No"/>
    <s v="Non-Travel"/>
    <x v="0"/>
    <s v="Current Employees"/>
    <x v="1"/>
    <x v="4"/>
    <s v="STAFF-1854"/>
    <x v="1359"/>
    <x v="1"/>
    <x v="1"/>
    <x v="1"/>
    <s v="No"/>
    <s v="Y"/>
    <n v="1"/>
    <n v="-2"/>
    <n v="0"/>
    <x v="19"/>
    <n v="0"/>
    <m/>
    <n v="0"/>
    <n v="1"/>
    <n v="355"/>
    <n v="10"/>
    <x v="2"/>
    <n v="1"/>
    <n v="4"/>
    <n v="38"/>
    <n v="3"/>
    <n v="1"/>
    <n v="4"/>
    <n v="2936"/>
    <n v="6161"/>
    <n v="3"/>
    <n v="22"/>
    <n v="4"/>
    <n v="2"/>
    <n v="80"/>
    <n v="2"/>
    <n v="10"/>
    <n v="2"/>
    <n v="6"/>
    <n v="3"/>
    <n v="3"/>
    <n v="3"/>
  </r>
  <r>
    <s v="No"/>
    <s v="Non-Travel"/>
    <x v="2"/>
    <s v="Current Employees"/>
    <x v="1"/>
    <x v="2"/>
    <s v="STAFF-1693"/>
    <x v="1360"/>
    <x v="1"/>
    <x v="2"/>
    <x v="0"/>
    <s v="No"/>
    <s v="Y"/>
    <n v="5"/>
    <n v="-2"/>
    <n v="0"/>
    <x v="25"/>
    <n v="0"/>
    <m/>
    <n v="0"/>
    <n v="1"/>
    <n v="786"/>
    <n v="7"/>
    <x v="3"/>
    <n v="1"/>
    <n v="4"/>
    <n v="76"/>
    <n v="3"/>
    <n v="1"/>
    <n v="4"/>
    <n v="2570"/>
    <n v="11925"/>
    <n v="1"/>
    <n v="20"/>
    <n v="4"/>
    <n v="3"/>
    <n v="80"/>
    <n v="0"/>
    <n v="7"/>
    <n v="3"/>
    <n v="7"/>
    <n v="7"/>
    <n v="5"/>
    <n v="7"/>
  </r>
  <r>
    <s v="No"/>
    <s v="Non-Travel"/>
    <x v="3"/>
    <s v="Current Employees"/>
    <x v="0"/>
    <x v="2"/>
    <s v="STAFF-1824"/>
    <x v="1361"/>
    <x v="1"/>
    <x v="5"/>
    <x v="2"/>
    <s v="No"/>
    <s v="Y"/>
    <n v="0"/>
    <n v="-2"/>
    <n v="0"/>
    <x v="34"/>
    <n v="0"/>
    <m/>
    <n v="0"/>
    <n v="1"/>
    <n v="350"/>
    <n v="2"/>
    <x v="3"/>
    <n v="1"/>
    <n v="2"/>
    <n v="52"/>
    <n v="3"/>
    <n v="4"/>
    <n v="2"/>
    <n v="16291"/>
    <n v="22577"/>
    <n v="4"/>
    <n v="22"/>
    <n v="4"/>
    <n v="4"/>
    <n v="80"/>
    <n v="1"/>
    <n v="37"/>
    <n v="2"/>
    <n v="16"/>
    <n v="9"/>
    <n v="14"/>
    <n v="14"/>
  </r>
  <r>
    <s v="No"/>
    <s v="Non-Travel"/>
    <x v="0"/>
    <s v="Current Employees"/>
    <x v="0"/>
    <x v="3"/>
    <s v="STAFF-2036"/>
    <x v="1362"/>
    <x v="1"/>
    <x v="0"/>
    <x v="2"/>
    <s v="No"/>
    <s v="Y"/>
    <n v="4"/>
    <n v="-2"/>
    <n v="0"/>
    <x v="9"/>
    <n v="0"/>
    <m/>
    <n v="0"/>
    <n v="1"/>
    <n v="301"/>
    <n v="15"/>
    <x v="2"/>
    <n v="1"/>
    <n v="4"/>
    <n v="88"/>
    <n v="1"/>
    <n v="2"/>
    <n v="1"/>
    <n v="5406"/>
    <n v="10436"/>
    <n v="1"/>
    <n v="24"/>
    <n v="4"/>
    <n v="1"/>
    <n v="80"/>
    <n v="1"/>
    <n v="15"/>
    <n v="2"/>
    <n v="15"/>
    <n v="12"/>
    <n v="11"/>
    <n v="11"/>
  </r>
  <r>
    <s v="No"/>
    <s v="Travel_Frequently"/>
    <x v="0"/>
    <s v="Current Employees"/>
    <x v="2"/>
    <x v="5"/>
    <s v="STAFF-1890"/>
    <x v="1363"/>
    <x v="1"/>
    <x v="8"/>
    <x v="0"/>
    <s v="No"/>
    <s v="Y"/>
    <n v="2"/>
    <n v="-2"/>
    <n v="0"/>
    <x v="9"/>
    <n v="0"/>
    <m/>
    <n v="0"/>
    <n v="1"/>
    <n v="1213"/>
    <n v="2"/>
    <x v="1"/>
    <n v="1"/>
    <n v="2"/>
    <n v="94"/>
    <n v="2"/>
    <n v="2"/>
    <n v="4"/>
    <n v="3886"/>
    <n v="4223"/>
    <n v="1"/>
    <n v="21"/>
    <n v="4"/>
    <n v="4"/>
    <n v="80"/>
    <n v="0"/>
    <n v="10"/>
    <n v="2"/>
    <n v="10"/>
    <n v="1"/>
    <n v="0"/>
    <n v="8"/>
  </r>
  <r>
    <s v="No"/>
    <s v="Travel_Frequently"/>
    <x v="2"/>
    <s v="Current Employees"/>
    <x v="1"/>
    <x v="0"/>
    <s v="STAFF-1970"/>
    <x v="1364"/>
    <x v="1"/>
    <x v="4"/>
    <x v="2"/>
    <s v="No"/>
    <s v="Y"/>
    <n v="2"/>
    <n v="-2"/>
    <n v="0"/>
    <x v="3"/>
    <n v="0"/>
    <m/>
    <n v="0"/>
    <n v="1"/>
    <n v="1303"/>
    <n v="7"/>
    <x v="0"/>
    <n v="1"/>
    <n v="4"/>
    <n v="36"/>
    <n v="3"/>
    <n v="2"/>
    <n v="3"/>
    <n v="5968"/>
    <n v="18079"/>
    <n v="1"/>
    <n v="20"/>
    <n v="4"/>
    <n v="3"/>
    <n v="80"/>
    <n v="3"/>
    <n v="9"/>
    <n v="3"/>
    <n v="9"/>
    <n v="7"/>
    <n v="2"/>
    <n v="8"/>
  </r>
  <r>
    <s v="No"/>
    <s v="Travel_Frequently"/>
    <x v="2"/>
    <s v="Current Employees"/>
    <x v="1"/>
    <x v="0"/>
    <s v="STAFF-1956"/>
    <x v="1365"/>
    <x v="1"/>
    <x v="1"/>
    <x v="1"/>
    <s v="No"/>
    <s v="Y"/>
    <n v="6"/>
    <n v="-2"/>
    <n v="0"/>
    <x v="12"/>
    <n v="0"/>
    <m/>
    <n v="0"/>
    <n v="1"/>
    <n v="1125"/>
    <n v="1"/>
    <x v="3"/>
    <n v="1"/>
    <n v="4"/>
    <n v="48"/>
    <n v="1"/>
    <n v="2"/>
    <n v="1"/>
    <n v="5003"/>
    <n v="5771"/>
    <n v="1"/>
    <n v="21"/>
    <n v="4"/>
    <n v="2"/>
    <n v="80"/>
    <n v="0"/>
    <n v="10"/>
    <n v="3"/>
    <n v="10"/>
    <n v="8"/>
    <n v="8"/>
    <n v="7"/>
  </r>
  <r>
    <s v="No"/>
    <s v="Travel_Frequently"/>
    <x v="1"/>
    <s v="Current Employees"/>
    <x v="1"/>
    <x v="2"/>
    <s v="STAFF-1644"/>
    <x v="1366"/>
    <x v="1"/>
    <x v="5"/>
    <x v="1"/>
    <s v="No"/>
    <s v="Y"/>
    <n v="3"/>
    <n v="-2"/>
    <n v="0"/>
    <x v="26"/>
    <n v="0"/>
    <m/>
    <n v="0"/>
    <n v="1"/>
    <n v="365"/>
    <n v="4"/>
    <x v="4"/>
    <n v="1"/>
    <n v="3"/>
    <n v="89"/>
    <n v="2"/>
    <n v="4"/>
    <n v="4"/>
    <n v="15202"/>
    <n v="5602"/>
    <n v="2"/>
    <n v="25"/>
    <n v="4"/>
    <n v="2"/>
    <n v="80"/>
    <n v="1"/>
    <n v="23"/>
    <n v="3"/>
    <n v="2"/>
    <n v="2"/>
    <n v="2"/>
    <n v="2"/>
  </r>
  <r>
    <s v="No"/>
    <s v="Travel_Frequently"/>
    <x v="0"/>
    <s v="Current Employees"/>
    <x v="0"/>
    <x v="0"/>
    <s v="STAFF-1849"/>
    <x v="1367"/>
    <x v="1"/>
    <x v="0"/>
    <x v="1"/>
    <s v="No"/>
    <s v="Y"/>
    <n v="5"/>
    <n v="-2"/>
    <n v="0"/>
    <x v="23"/>
    <n v="0"/>
    <m/>
    <n v="0"/>
    <n v="1"/>
    <n v="1422"/>
    <n v="2"/>
    <x v="2"/>
    <n v="1"/>
    <n v="1"/>
    <n v="92"/>
    <n v="3"/>
    <n v="2"/>
    <n v="4"/>
    <n v="5675"/>
    <n v="19246"/>
    <n v="1"/>
    <n v="20"/>
    <n v="4"/>
    <n v="3"/>
    <n v="80"/>
    <n v="1"/>
    <n v="7"/>
    <n v="3"/>
    <n v="7"/>
    <n v="7"/>
    <n v="7"/>
    <n v="7"/>
  </r>
  <r>
    <s v="No"/>
    <s v="Travel_Rarely"/>
    <x v="2"/>
    <s v="Current Employees"/>
    <x v="2"/>
    <x v="0"/>
    <s v="STAFF-1499"/>
    <x v="1368"/>
    <x v="1"/>
    <x v="8"/>
    <x v="2"/>
    <s v="No"/>
    <s v="Y"/>
    <n v="3"/>
    <n v="-2"/>
    <n v="0"/>
    <x v="7"/>
    <n v="0"/>
    <m/>
    <n v="0"/>
    <n v="1"/>
    <n v="330"/>
    <n v="1"/>
    <x v="3"/>
    <n v="1"/>
    <n v="3"/>
    <n v="46"/>
    <n v="3"/>
    <n v="1"/>
    <n v="3"/>
    <n v="2064"/>
    <n v="15428"/>
    <n v="0"/>
    <n v="21"/>
    <n v="4"/>
    <n v="1"/>
    <n v="80"/>
    <n v="1"/>
    <n v="6"/>
    <n v="4"/>
    <n v="5"/>
    <n v="3"/>
    <n v="1"/>
    <n v="3"/>
  </r>
  <r>
    <s v="No"/>
    <s v="Travel_Rarely"/>
    <x v="3"/>
    <s v="Current Employees"/>
    <x v="1"/>
    <x v="2"/>
    <s v="STAFF-1697"/>
    <x v="1369"/>
    <x v="1"/>
    <x v="4"/>
    <x v="2"/>
    <s v="No"/>
    <s v="Y"/>
    <n v="2"/>
    <n v="-2"/>
    <n v="0"/>
    <x v="42"/>
    <n v="0"/>
    <m/>
    <n v="0"/>
    <n v="1"/>
    <n v="370"/>
    <n v="1"/>
    <x v="2"/>
    <n v="1"/>
    <n v="3"/>
    <n v="92"/>
    <n v="1"/>
    <n v="3"/>
    <n v="4"/>
    <n v="10883"/>
    <n v="20467"/>
    <n v="3"/>
    <n v="20"/>
    <n v="4"/>
    <n v="3"/>
    <n v="80"/>
    <n v="1"/>
    <n v="19"/>
    <n v="4"/>
    <n v="1"/>
    <n v="0"/>
    <n v="0"/>
    <n v="0"/>
  </r>
  <r>
    <s v="No"/>
    <s v="Travel_Rarely"/>
    <x v="0"/>
    <s v="Current Employees"/>
    <x v="1"/>
    <x v="0"/>
    <s v="STAFF-1664"/>
    <x v="1370"/>
    <x v="1"/>
    <x v="4"/>
    <x v="2"/>
    <s v="No"/>
    <s v="Y"/>
    <n v="3"/>
    <n v="-2"/>
    <n v="0"/>
    <x v="9"/>
    <n v="0"/>
    <m/>
    <n v="0"/>
    <n v="1"/>
    <n v="1040"/>
    <n v="3"/>
    <x v="0"/>
    <n v="1"/>
    <n v="4"/>
    <n v="79"/>
    <n v="4"/>
    <n v="2"/>
    <n v="1"/>
    <n v="6842"/>
    <n v="26308"/>
    <n v="6"/>
    <n v="20"/>
    <n v="4"/>
    <n v="1"/>
    <n v="80"/>
    <n v="1"/>
    <n v="13"/>
    <n v="3"/>
    <n v="5"/>
    <n v="4"/>
    <n v="0"/>
    <n v="4"/>
  </r>
  <r>
    <s v="No"/>
    <s v="Travel_Rarely"/>
    <x v="0"/>
    <s v="Current Employees"/>
    <x v="1"/>
    <x v="0"/>
    <s v="STAFF-1772"/>
    <x v="1371"/>
    <x v="1"/>
    <x v="2"/>
    <x v="2"/>
    <s v="No"/>
    <s v="Y"/>
    <n v="2"/>
    <n v="-2"/>
    <n v="0"/>
    <x v="0"/>
    <n v="0"/>
    <m/>
    <n v="0"/>
    <n v="1"/>
    <n v="548"/>
    <n v="9"/>
    <x v="2"/>
    <n v="1"/>
    <n v="3"/>
    <n v="94"/>
    <n v="3"/>
    <n v="1"/>
    <n v="1"/>
    <n v="2289"/>
    <n v="20520"/>
    <n v="1"/>
    <n v="20"/>
    <n v="4"/>
    <n v="2"/>
    <n v="80"/>
    <n v="2"/>
    <n v="5"/>
    <n v="3"/>
    <n v="5"/>
    <n v="3"/>
    <n v="0"/>
    <n v="4"/>
  </r>
  <r>
    <s v="No"/>
    <s v="Travel_Rarely"/>
    <x v="0"/>
    <s v="Current Employees"/>
    <x v="1"/>
    <x v="2"/>
    <s v="STAFF-1768"/>
    <x v="1372"/>
    <x v="1"/>
    <x v="2"/>
    <x v="2"/>
    <s v="No"/>
    <s v="Y"/>
    <n v="6"/>
    <n v="-2"/>
    <n v="0"/>
    <x v="19"/>
    <n v="0"/>
    <m/>
    <n v="0"/>
    <n v="1"/>
    <n v="855"/>
    <n v="12"/>
    <x v="3"/>
    <n v="1"/>
    <n v="2"/>
    <n v="57"/>
    <n v="3"/>
    <n v="1"/>
    <n v="2"/>
    <n v="2766"/>
    <n v="8952"/>
    <n v="8"/>
    <n v="22"/>
    <n v="4"/>
    <n v="2"/>
    <n v="80"/>
    <n v="3"/>
    <n v="7"/>
    <n v="2"/>
    <n v="5"/>
    <n v="3"/>
    <n v="0"/>
    <n v="4"/>
  </r>
  <r>
    <s v="No"/>
    <s v="Travel_Rarely"/>
    <x v="0"/>
    <s v="Current Employees"/>
    <x v="1"/>
    <x v="2"/>
    <s v="STAFF-1654"/>
    <x v="1373"/>
    <x v="1"/>
    <x v="3"/>
    <x v="1"/>
    <s v="No"/>
    <s v="Y"/>
    <n v="3"/>
    <n v="-2"/>
    <n v="0"/>
    <x v="22"/>
    <n v="0"/>
    <m/>
    <n v="0"/>
    <n v="1"/>
    <n v="492"/>
    <n v="12"/>
    <x v="3"/>
    <n v="1"/>
    <n v="4"/>
    <n v="66"/>
    <n v="3"/>
    <n v="2"/>
    <n v="2"/>
    <n v="5295"/>
    <n v="7693"/>
    <n v="4"/>
    <n v="21"/>
    <n v="4"/>
    <n v="3"/>
    <n v="80"/>
    <n v="0"/>
    <n v="7"/>
    <n v="3"/>
    <n v="5"/>
    <n v="4"/>
    <n v="1"/>
    <n v="0"/>
  </r>
  <r>
    <s v="No"/>
    <s v="Travel_Rarely"/>
    <x v="0"/>
    <s v="Current Employees"/>
    <x v="1"/>
    <x v="2"/>
    <s v="STAFF-1936"/>
    <x v="1374"/>
    <x v="1"/>
    <x v="3"/>
    <x v="1"/>
    <s v="No"/>
    <s v="Y"/>
    <n v="3"/>
    <n v="-2"/>
    <n v="0"/>
    <x v="22"/>
    <n v="0"/>
    <m/>
    <n v="0"/>
    <n v="1"/>
    <n v="867"/>
    <n v="9"/>
    <x v="0"/>
    <n v="1"/>
    <n v="1"/>
    <n v="87"/>
    <n v="3"/>
    <n v="2"/>
    <n v="1"/>
    <n v="5151"/>
    <n v="12315"/>
    <n v="1"/>
    <n v="25"/>
    <n v="4"/>
    <n v="4"/>
    <n v="80"/>
    <n v="1"/>
    <n v="10"/>
    <n v="3"/>
    <n v="10"/>
    <n v="0"/>
    <n v="7"/>
    <n v="9"/>
  </r>
  <r>
    <s v="No"/>
    <s v="Travel_Rarely"/>
    <x v="3"/>
    <s v="Current Employees"/>
    <x v="1"/>
    <x v="4"/>
    <s v="STAFF-1873"/>
    <x v="1375"/>
    <x v="1"/>
    <x v="1"/>
    <x v="1"/>
    <s v="No"/>
    <s v="Y"/>
    <n v="2"/>
    <n v="-2"/>
    <n v="0"/>
    <x v="27"/>
    <n v="0"/>
    <m/>
    <n v="0"/>
    <n v="1"/>
    <n v="836"/>
    <n v="2"/>
    <x v="2"/>
    <n v="1"/>
    <n v="4"/>
    <n v="98"/>
    <n v="2"/>
    <n v="1"/>
    <n v="4"/>
    <n v="2662"/>
    <n v="7975"/>
    <n v="8"/>
    <n v="20"/>
    <n v="4"/>
    <n v="2"/>
    <n v="80"/>
    <n v="1"/>
    <n v="19"/>
    <n v="4"/>
    <n v="5"/>
    <n v="2"/>
    <n v="0"/>
    <n v="4"/>
  </r>
  <r>
    <s v="No"/>
    <s v="Travel_Rarely"/>
    <x v="3"/>
    <s v="Current Employees"/>
    <x v="1"/>
    <x v="0"/>
    <s v="STAFF-1483"/>
    <x v="1376"/>
    <x v="1"/>
    <x v="1"/>
    <x v="1"/>
    <s v="No"/>
    <s v="Y"/>
    <n v="2"/>
    <n v="-2"/>
    <n v="0"/>
    <x v="38"/>
    <n v="0"/>
    <m/>
    <n v="0"/>
    <n v="1"/>
    <n v="405"/>
    <n v="1"/>
    <x v="0"/>
    <n v="1"/>
    <n v="2"/>
    <n v="93"/>
    <n v="4"/>
    <n v="2"/>
    <n v="3"/>
    <n v="4900"/>
    <n v="2721"/>
    <n v="0"/>
    <n v="24"/>
    <n v="4"/>
    <n v="1"/>
    <n v="80"/>
    <n v="1"/>
    <n v="13"/>
    <n v="2"/>
    <n v="12"/>
    <n v="9"/>
    <n v="2"/>
    <n v="8"/>
  </r>
  <r>
    <s v="No"/>
    <s v="Travel_Rarely"/>
    <x v="0"/>
    <s v="Current Employees"/>
    <x v="1"/>
    <x v="0"/>
    <s v="STAFF-1666"/>
    <x v="1377"/>
    <x v="1"/>
    <x v="7"/>
    <x v="1"/>
    <s v="No"/>
    <s v="Y"/>
    <n v="3"/>
    <n v="-2"/>
    <n v="0"/>
    <x v="23"/>
    <n v="0"/>
    <m/>
    <n v="0"/>
    <n v="1"/>
    <n v="1291"/>
    <n v="15"/>
    <x v="0"/>
    <n v="1"/>
    <n v="3"/>
    <n v="65"/>
    <n v="2"/>
    <n v="4"/>
    <n v="3"/>
    <n v="17603"/>
    <n v="3525"/>
    <n v="1"/>
    <n v="24"/>
    <n v="4"/>
    <n v="1"/>
    <n v="80"/>
    <n v="1"/>
    <n v="14"/>
    <n v="3"/>
    <n v="14"/>
    <n v="10"/>
    <n v="6"/>
    <n v="11"/>
  </r>
  <r>
    <s v="No"/>
    <s v="Travel_Rarely"/>
    <x v="0"/>
    <s v="Current Employees"/>
    <x v="1"/>
    <x v="0"/>
    <s v="STAFF-1999"/>
    <x v="1378"/>
    <x v="1"/>
    <x v="1"/>
    <x v="1"/>
    <s v="No"/>
    <s v="Y"/>
    <n v="3"/>
    <n v="-2"/>
    <n v="0"/>
    <x v="0"/>
    <n v="0"/>
    <m/>
    <n v="0"/>
    <n v="1"/>
    <n v="642"/>
    <n v="1"/>
    <x v="3"/>
    <n v="1"/>
    <n v="4"/>
    <n v="76"/>
    <n v="3"/>
    <n v="1"/>
    <n v="4"/>
    <n v="2782"/>
    <n v="21412"/>
    <n v="3"/>
    <n v="22"/>
    <n v="4"/>
    <n v="1"/>
    <n v="80"/>
    <n v="1"/>
    <n v="12"/>
    <n v="3"/>
    <n v="5"/>
    <n v="3"/>
    <n v="1"/>
    <n v="0"/>
  </r>
  <r>
    <s v="No"/>
    <s v="Travel_Rarely"/>
    <x v="1"/>
    <s v="Current Employees"/>
    <x v="1"/>
    <x v="4"/>
    <s v="STAFF-1546"/>
    <x v="1379"/>
    <x v="1"/>
    <x v="1"/>
    <x v="1"/>
    <s v="No"/>
    <s v="Y"/>
    <n v="3"/>
    <n v="-2"/>
    <n v="0"/>
    <x v="28"/>
    <n v="0"/>
    <m/>
    <n v="0"/>
    <n v="1"/>
    <n v="950"/>
    <n v="28"/>
    <x v="3"/>
    <n v="1"/>
    <n v="4"/>
    <n v="97"/>
    <n v="3"/>
    <n v="1"/>
    <n v="4"/>
    <n v="2132"/>
    <n v="4585"/>
    <n v="4"/>
    <n v="20"/>
    <n v="4"/>
    <n v="4"/>
    <n v="80"/>
    <n v="1"/>
    <n v="8"/>
    <n v="3"/>
    <n v="5"/>
    <n v="4"/>
    <n v="0"/>
    <n v="3"/>
  </r>
  <r>
    <s v="No"/>
    <s v="Travel_Rarely"/>
    <x v="1"/>
    <s v="Current Employees"/>
    <x v="1"/>
    <x v="2"/>
    <s v="STAFF-1993"/>
    <x v="1380"/>
    <x v="1"/>
    <x v="4"/>
    <x v="0"/>
    <s v="No"/>
    <s v="Y"/>
    <n v="3"/>
    <n v="-2"/>
    <n v="0"/>
    <x v="40"/>
    <n v="0"/>
    <m/>
    <n v="0"/>
    <n v="1"/>
    <n v="1180"/>
    <n v="25"/>
    <x v="3"/>
    <n v="1"/>
    <n v="1"/>
    <n v="84"/>
    <n v="3"/>
    <n v="3"/>
    <n v="3"/>
    <n v="8633"/>
    <n v="13084"/>
    <n v="2"/>
    <n v="23"/>
    <n v="4"/>
    <n v="2"/>
    <n v="80"/>
    <n v="0"/>
    <n v="25"/>
    <n v="3"/>
    <n v="17"/>
    <n v="14"/>
    <n v="12"/>
    <n v="11"/>
  </r>
  <r>
    <s v="No"/>
    <s v="Travel_Rarely"/>
    <x v="0"/>
    <s v="Current Employees"/>
    <x v="1"/>
    <x v="2"/>
    <s v="STAFF-1800"/>
    <x v="1381"/>
    <x v="1"/>
    <x v="7"/>
    <x v="0"/>
    <s v="No"/>
    <s v="Y"/>
    <n v="3"/>
    <n v="-2"/>
    <n v="0"/>
    <x v="22"/>
    <n v="0"/>
    <m/>
    <n v="0"/>
    <n v="1"/>
    <n v="1253"/>
    <n v="10"/>
    <x v="1"/>
    <n v="1"/>
    <n v="3"/>
    <n v="65"/>
    <n v="3"/>
    <n v="3"/>
    <n v="3"/>
    <n v="13464"/>
    <n v="7914"/>
    <n v="7"/>
    <n v="21"/>
    <n v="4"/>
    <n v="3"/>
    <n v="80"/>
    <n v="0"/>
    <n v="9"/>
    <n v="3"/>
    <n v="4"/>
    <n v="3"/>
    <n v="2"/>
    <n v="2"/>
  </r>
  <r>
    <s v="No"/>
    <s v="Travel_Rarely"/>
    <x v="2"/>
    <s v="Current Employees"/>
    <x v="1"/>
    <x v="2"/>
    <s v="STAFF-1516"/>
    <x v="1382"/>
    <x v="1"/>
    <x v="5"/>
    <x v="0"/>
    <s v="No"/>
    <s v="Y"/>
    <n v="5"/>
    <n v="-2"/>
    <n v="0"/>
    <x v="5"/>
    <n v="0"/>
    <m/>
    <n v="0"/>
    <n v="1"/>
    <n v="495"/>
    <n v="10"/>
    <x v="3"/>
    <n v="1"/>
    <n v="3"/>
    <n v="64"/>
    <n v="3"/>
    <n v="3"/>
    <n v="4"/>
    <n v="11244"/>
    <n v="21072"/>
    <n v="2"/>
    <n v="25"/>
    <n v="4"/>
    <n v="2"/>
    <n v="80"/>
    <n v="0"/>
    <n v="10"/>
    <n v="4"/>
    <n v="5"/>
    <n v="2"/>
    <n v="0"/>
    <n v="0"/>
  </r>
  <r>
    <s v="No"/>
    <s v="Travel_Rarely"/>
    <x v="2"/>
    <s v="Current Employees"/>
    <x v="1"/>
    <x v="0"/>
    <s v="STAFF-1966"/>
    <x v="1383"/>
    <x v="1"/>
    <x v="3"/>
    <x v="0"/>
    <s v="No"/>
    <s v="Y"/>
    <n v="1"/>
    <n v="-2"/>
    <n v="0"/>
    <x v="5"/>
    <n v="0"/>
    <m/>
    <n v="0"/>
    <n v="1"/>
    <n v="1373"/>
    <n v="5"/>
    <x v="2"/>
    <n v="1"/>
    <n v="4"/>
    <n v="56"/>
    <n v="2"/>
    <n v="2"/>
    <n v="4"/>
    <n v="9679"/>
    <n v="10138"/>
    <n v="8"/>
    <n v="24"/>
    <n v="4"/>
    <n v="2"/>
    <n v="80"/>
    <n v="0"/>
    <n v="8"/>
    <n v="3"/>
    <n v="1"/>
    <n v="0"/>
    <n v="0"/>
    <n v="0"/>
  </r>
  <r>
    <s v="No"/>
    <s v="Travel_Rarely"/>
    <x v="0"/>
    <s v="Current Employees"/>
    <x v="1"/>
    <x v="1"/>
    <s v="STAFF-1595"/>
    <x v="1384"/>
    <x v="1"/>
    <x v="5"/>
    <x v="0"/>
    <s v="No"/>
    <s v="Y"/>
    <n v="2"/>
    <n v="-2"/>
    <n v="0"/>
    <x v="19"/>
    <n v="0"/>
    <m/>
    <n v="0"/>
    <n v="1"/>
    <n v="1059"/>
    <n v="9"/>
    <x v="0"/>
    <n v="1"/>
    <n v="4"/>
    <n v="93"/>
    <n v="2"/>
    <n v="5"/>
    <n v="4"/>
    <n v="19613"/>
    <n v="26362"/>
    <n v="8"/>
    <n v="22"/>
    <n v="4"/>
    <n v="4"/>
    <n v="80"/>
    <n v="0"/>
    <n v="24"/>
    <n v="3"/>
    <n v="1"/>
    <n v="0"/>
    <n v="0"/>
    <n v="1"/>
  </r>
  <r>
    <s v="No"/>
    <s v="Travel_Rarely"/>
    <x v="3"/>
    <s v="Current Employees"/>
    <x v="0"/>
    <x v="3"/>
    <s v="STAFF-1578"/>
    <x v="1385"/>
    <x v="1"/>
    <x v="5"/>
    <x v="1"/>
    <s v="No"/>
    <s v="Y"/>
    <n v="3"/>
    <n v="-2"/>
    <n v="0"/>
    <x v="27"/>
    <n v="0"/>
    <m/>
    <n v="0"/>
    <n v="1"/>
    <n v="685"/>
    <n v="26"/>
    <x v="4"/>
    <n v="1"/>
    <n v="3"/>
    <n v="60"/>
    <n v="2"/>
    <n v="5"/>
    <n v="1"/>
    <n v="19586"/>
    <n v="23037"/>
    <n v="1"/>
    <n v="21"/>
    <n v="4"/>
    <n v="3"/>
    <n v="80"/>
    <n v="1"/>
    <n v="36"/>
    <n v="3"/>
    <n v="36"/>
    <n v="6"/>
    <n v="2"/>
    <n v="13"/>
  </r>
  <r>
    <s v="No"/>
    <s v="Travel_Rarely"/>
    <x v="2"/>
    <s v="Current Employees"/>
    <x v="0"/>
    <x v="4"/>
    <s v="STAFF-1823"/>
    <x v="1386"/>
    <x v="1"/>
    <x v="0"/>
    <x v="1"/>
    <s v="No"/>
    <s v="Y"/>
    <n v="5"/>
    <n v="-2"/>
    <n v="0"/>
    <x v="13"/>
    <n v="0"/>
    <m/>
    <n v="0"/>
    <n v="1"/>
    <n v="810"/>
    <n v="8"/>
    <x v="0"/>
    <n v="1"/>
    <n v="4"/>
    <n v="92"/>
    <n v="4"/>
    <n v="2"/>
    <n v="4"/>
    <n v="6799"/>
    <n v="22128"/>
    <n v="1"/>
    <n v="21"/>
    <n v="4"/>
    <n v="3"/>
    <n v="80"/>
    <n v="2"/>
    <n v="10"/>
    <n v="3"/>
    <n v="10"/>
    <n v="8"/>
    <n v="4"/>
    <n v="8"/>
  </r>
  <r>
    <s v="No"/>
    <s v="Travel_Rarely"/>
    <x v="2"/>
    <s v="Current Employees"/>
    <x v="0"/>
    <x v="3"/>
    <s v="STAFF-1950"/>
    <x v="1387"/>
    <x v="1"/>
    <x v="0"/>
    <x v="0"/>
    <s v="No"/>
    <s v="Y"/>
    <n v="3"/>
    <n v="-2"/>
    <n v="0"/>
    <x v="13"/>
    <n v="0"/>
    <m/>
    <n v="0"/>
    <n v="1"/>
    <n v="937"/>
    <n v="1"/>
    <x v="3"/>
    <n v="1"/>
    <n v="1"/>
    <n v="32"/>
    <n v="3"/>
    <n v="3"/>
    <n v="1"/>
    <n v="9888"/>
    <n v="6770"/>
    <n v="1"/>
    <n v="21"/>
    <n v="4"/>
    <n v="1"/>
    <n v="80"/>
    <n v="0"/>
    <n v="14"/>
    <n v="2"/>
    <n v="14"/>
    <n v="8"/>
    <n v="2"/>
    <n v="1"/>
  </r>
  <r>
    <s v="No"/>
    <s v="Non-Travel"/>
    <x v="1"/>
    <s v="Current Employees"/>
    <x v="1"/>
    <x v="2"/>
    <s v="STAFF-1775"/>
    <x v="1388"/>
    <x v="0"/>
    <x v="3"/>
    <x v="1"/>
    <s v="Yes"/>
    <s v="Y"/>
    <n v="2"/>
    <n v="-2"/>
    <n v="0"/>
    <x v="16"/>
    <n v="0"/>
    <m/>
    <n v="0"/>
    <n v="1"/>
    <n v="661"/>
    <n v="1"/>
    <x v="2"/>
    <n v="1"/>
    <n v="1"/>
    <n v="60"/>
    <n v="2"/>
    <n v="4"/>
    <n v="3"/>
    <n v="12965"/>
    <n v="22308"/>
    <n v="4"/>
    <n v="20"/>
    <n v="4"/>
    <n v="4"/>
    <n v="80"/>
    <n v="3"/>
    <n v="27"/>
    <n v="2"/>
    <n v="3"/>
    <n v="2"/>
    <n v="0"/>
    <n v="2"/>
  </r>
  <r>
    <s v="No"/>
    <s v="Non-Travel"/>
    <x v="2"/>
    <s v="Current Employees"/>
    <x v="0"/>
    <x v="0"/>
    <s v="STAFF-1681"/>
    <x v="1389"/>
    <x v="0"/>
    <x v="0"/>
    <x v="2"/>
    <s v="Yes"/>
    <s v="Y"/>
    <n v="2"/>
    <n v="-2"/>
    <n v="0"/>
    <x v="3"/>
    <n v="0"/>
    <m/>
    <n v="0"/>
    <n v="1"/>
    <n v="530"/>
    <n v="16"/>
    <x v="3"/>
    <n v="1"/>
    <n v="3"/>
    <n v="36"/>
    <n v="3"/>
    <n v="2"/>
    <n v="4"/>
    <n v="5368"/>
    <n v="16130"/>
    <n v="1"/>
    <n v="25"/>
    <n v="4"/>
    <n v="3"/>
    <n v="80"/>
    <n v="1"/>
    <n v="7"/>
    <n v="3"/>
    <n v="6"/>
    <n v="5"/>
    <n v="1"/>
    <n v="2"/>
  </r>
  <r>
    <s v="No"/>
    <s v="Travel_Rarely"/>
    <x v="0"/>
    <s v="Current Employees"/>
    <x v="1"/>
    <x v="0"/>
    <s v="STAFF-2017"/>
    <x v="1390"/>
    <x v="0"/>
    <x v="7"/>
    <x v="1"/>
    <s v="Yes"/>
    <s v="Y"/>
    <n v="2"/>
    <n v="-2"/>
    <n v="0"/>
    <x v="2"/>
    <n v="0"/>
    <m/>
    <n v="0"/>
    <n v="1"/>
    <n v="161"/>
    <n v="10"/>
    <x v="3"/>
    <n v="1"/>
    <n v="3"/>
    <n v="42"/>
    <n v="4"/>
    <n v="3"/>
    <n v="4"/>
    <n v="13744"/>
    <n v="15471"/>
    <n v="1"/>
    <n v="25"/>
    <n v="4"/>
    <n v="1"/>
    <n v="80"/>
    <n v="1"/>
    <n v="16"/>
    <n v="3"/>
    <n v="16"/>
    <n v="11"/>
    <n v="6"/>
    <n v="8"/>
  </r>
  <r>
    <s v="No"/>
    <s v="Travel_Rarely"/>
    <x v="3"/>
    <s v="Current Employees"/>
    <x v="1"/>
    <x v="2"/>
    <s v="STAFF-1423"/>
    <x v="1391"/>
    <x v="0"/>
    <x v="7"/>
    <x v="1"/>
    <s v="Yes"/>
    <s v="Y"/>
    <n v="3"/>
    <n v="-2"/>
    <n v="0"/>
    <x v="34"/>
    <n v="0"/>
    <m/>
    <n v="0"/>
    <n v="1"/>
    <n v="1055"/>
    <n v="1"/>
    <x v="3"/>
    <n v="1"/>
    <n v="4"/>
    <n v="76"/>
    <n v="3"/>
    <n v="5"/>
    <n v="1"/>
    <n v="19701"/>
    <n v="22456"/>
    <n v="3"/>
    <n v="21"/>
    <n v="4"/>
    <n v="3"/>
    <n v="80"/>
    <n v="1"/>
    <n v="32"/>
    <n v="3"/>
    <n v="9"/>
    <n v="8"/>
    <n v="1"/>
    <n v="5"/>
  </r>
  <r>
    <s v="No"/>
    <s v="Travel_Rarely"/>
    <x v="0"/>
    <s v="Current Employees"/>
    <x v="1"/>
    <x v="1"/>
    <s v="STAFF-1847"/>
    <x v="1392"/>
    <x v="0"/>
    <x v="1"/>
    <x v="1"/>
    <s v="Yes"/>
    <s v="Y"/>
    <n v="2"/>
    <n v="-2"/>
    <n v="0"/>
    <x v="9"/>
    <n v="0"/>
    <m/>
    <n v="0"/>
    <n v="1"/>
    <n v="430"/>
    <n v="2"/>
    <x v="2"/>
    <n v="1"/>
    <n v="4"/>
    <n v="73"/>
    <n v="3"/>
    <n v="2"/>
    <n v="2"/>
    <n v="6962"/>
    <n v="19573"/>
    <n v="4"/>
    <n v="22"/>
    <n v="4"/>
    <n v="4"/>
    <n v="80"/>
    <n v="1"/>
    <n v="15"/>
    <n v="3"/>
    <n v="1"/>
    <n v="0"/>
    <n v="0"/>
    <n v="0"/>
  </r>
  <r>
    <s v="No"/>
    <s v="Travel_Rarely"/>
    <x v="2"/>
    <s v="Current Employees"/>
    <x v="0"/>
    <x v="1"/>
    <s v="STAFF-2018"/>
    <x v="1393"/>
    <x v="0"/>
    <x v="0"/>
    <x v="2"/>
    <s v="Yes"/>
    <s v="Y"/>
    <n v="3"/>
    <n v="-2"/>
    <n v="0"/>
    <x v="36"/>
    <n v="0"/>
    <m/>
    <n v="0"/>
    <n v="1"/>
    <n v="1382"/>
    <n v="8"/>
    <x v="0"/>
    <n v="1"/>
    <n v="1"/>
    <n v="85"/>
    <n v="3"/>
    <n v="2"/>
    <n v="3"/>
    <n v="4907"/>
    <n v="13684"/>
    <n v="0"/>
    <n v="22"/>
    <n v="4"/>
    <n v="2"/>
    <n v="80"/>
    <n v="1"/>
    <n v="6"/>
    <n v="2"/>
    <n v="5"/>
    <n v="3"/>
    <n v="0"/>
    <n v="4"/>
  </r>
  <r>
    <s v="No"/>
    <s v="Travel_Rarely"/>
    <x v="0"/>
    <s v="Current Employees"/>
    <x v="0"/>
    <x v="3"/>
    <s v="STAFF-1835"/>
    <x v="1394"/>
    <x v="0"/>
    <x v="6"/>
    <x v="1"/>
    <s v="Yes"/>
    <s v="Y"/>
    <n v="4"/>
    <n v="-2"/>
    <n v="0"/>
    <x v="8"/>
    <n v="0"/>
    <m/>
    <n v="0"/>
    <n v="1"/>
    <n v="723"/>
    <n v="2"/>
    <x v="2"/>
    <n v="1"/>
    <n v="2"/>
    <n v="77"/>
    <n v="1"/>
    <n v="2"/>
    <n v="1"/>
    <n v="5405"/>
    <n v="4244"/>
    <n v="2"/>
    <n v="20"/>
    <n v="4"/>
    <n v="1"/>
    <n v="80"/>
    <n v="2"/>
    <n v="20"/>
    <n v="2"/>
    <n v="4"/>
    <n v="2"/>
    <n v="0"/>
    <n v="3"/>
  </r>
  <r>
    <s v="No"/>
    <s v="Travel_Rarely"/>
    <x v="0"/>
    <s v="Current Employees"/>
    <x v="2"/>
    <x v="2"/>
    <s v="STAFF-1550"/>
    <x v="1395"/>
    <x v="1"/>
    <x v="5"/>
    <x v="0"/>
    <s v="Yes"/>
    <s v="Y"/>
    <n v="2"/>
    <n v="-2"/>
    <n v="0"/>
    <x v="32"/>
    <n v="0"/>
    <m/>
    <n v="0"/>
    <n v="1"/>
    <n v="898"/>
    <n v="6"/>
    <x v="0"/>
    <n v="1"/>
    <n v="3"/>
    <n v="38"/>
    <n v="3"/>
    <n v="4"/>
    <n v="4"/>
    <n v="16437"/>
    <n v="17381"/>
    <n v="1"/>
    <n v="21"/>
    <n v="4"/>
    <n v="4"/>
    <n v="80"/>
    <n v="0"/>
    <n v="21"/>
    <n v="3"/>
    <n v="21"/>
    <n v="7"/>
    <n v="7"/>
    <n v="7"/>
  </r>
  <r>
    <s v="No"/>
    <s v="Travel_Rarely"/>
    <x v="2"/>
    <s v="Current Employees"/>
    <x v="1"/>
    <x v="0"/>
    <s v="STAFF-2064"/>
    <x v="1396"/>
    <x v="1"/>
    <x v="3"/>
    <x v="1"/>
    <s v="Yes"/>
    <s v="Y"/>
    <n v="0"/>
    <n v="-2"/>
    <n v="0"/>
    <x v="4"/>
    <n v="0"/>
    <m/>
    <n v="0"/>
    <n v="1"/>
    <n v="155"/>
    <n v="4"/>
    <x v="3"/>
    <n v="1"/>
    <n v="2"/>
    <n v="87"/>
    <n v="4"/>
    <n v="2"/>
    <n v="2"/>
    <n v="6142"/>
    <n v="5174"/>
    <n v="1"/>
    <n v="20"/>
    <n v="4"/>
    <n v="2"/>
    <n v="80"/>
    <n v="1"/>
    <n v="6"/>
    <n v="3"/>
    <n v="6"/>
    <n v="2"/>
    <n v="0"/>
    <n v="3"/>
  </r>
  <r>
    <s v="No"/>
    <s v="Travel_Rarely"/>
    <x v="0"/>
    <s v="Current Employees"/>
    <x v="1"/>
    <x v="2"/>
    <s v="STAFF-1885"/>
    <x v="1397"/>
    <x v="1"/>
    <x v="1"/>
    <x v="1"/>
    <s v="Yes"/>
    <s v="Y"/>
    <n v="2"/>
    <n v="-2"/>
    <n v="0"/>
    <x v="2"/>
    <n v="0"/>
    <m/>
    <n v="0"/>
    <n v="1"/>
    <n v="783"/>
    <n v="7"/>
    <x v="2"/>
    <n v="1"/>
    <n v="4"/>
    <n v="78"/>
    <n v="3"/>
    <n v="2"/>
    <n v="1"/>
    <n v="4284"/>
    <n v="13588"/>
    <n v="5"/>
    <n v="22"/>
    <n v="4"/>
    <n v="3"/>
    <n v="80"/>
    <n v="1"/>
    <n v="16"/>
    <n v="3"/>
    <n v="5"/>
    <n v="3"/>
    <n v="0"/>
    <n v="4"/>
  </r>
  <r>
    <s v="No"/>
    <s v="Travel_Rarely"/>
    <x v="2"/>
    <s v="Current Employees"/>
    <x v="0"/>
    <x v="4"/>
    <s v="STAFF-1541"/>
    <x v="1398"/>
    <x v="1"/>
    <x v="6"/>
    <x v="1"/>
    <s v="Yes"/>
    <s v="Y"/>
    <n v="4"/>
    <n v="-2"/>
    <n v="0"/>
    <x v="13"/>
    <n v="0"/>
    <m/>
    <n v="0"/>
    <n v="1"/>
    <n v="1440"/>
    <n v="7"/>
    <x v="0"/>
    <n v="1"/>
    <n v="4"/>
    <n v="55"/>
    <n v="3"/>
    <n v="1"/>
    <n v="4"/>
    <n v="2308"/>
    <n v="4944"/>
    <n v="0"/>
    <n v="25"/>
    <n v="4"/>
    <n v="2"/>
    <n v="80"/>
    <n v="1"/>
    <n v="12"/>
    <n v="3"/>
    <n v="11"/>
    <n v="10"/>
    <n v="5"/>
    <n v="7"/>
  </r>
  <r>
    <s v="No"/>
    <s v="Travel_Rarely"/>
    <x v="0"/>
    <s v="Current Employees"/>
    <x v="0"/>
    <x v="0"/>
    <s v="STAFF-1556"/>
    <x v="1399"/>
    <x v="1"/>
    <x v="6"/>
    <x v="0"/>
    <s v="Yes"/>
    <s v="Y"/>
    <n v="3"/>
    <n v="-2"/>
    <n v="0"/>
    <x v="9"/>
    <n v="0"/>
    <m/>
    <n v="0"/>
    <n v="1"/>
    <n v="1157"/>
    <n v="2"/>
    <x v="2"/>
    <n v="1"/>
    <n v="3"/>
    <n v="70"/>
    <n v="3"/>
    <n v="1"/>
    <n v="4"/>
    <n v="2644"/>
    <n v="17001"/>
    <n v="3"/>
    <n v="21"/>
    <n v="4"/>
    <n v="4"/>
    <n v="80"/>
    <n v="0"/>
    <n v="7"/>
    <n v="2"/>
    <n v="3"/>
    <n v="2"/>
    <n v="1"/>
    <n v="2"/>
  </r>
  <r>
    <s v="Yes"/>
    <s v="Travel_Frequently"/>
    <x v="2"/>
    <s v="Ex-Employees"/>
    <x v="2"/>
    <x v="5"/>
    <s v="STAFF-1747"/>
    <x v="1400"/>
    <x v="0"/>
    <x v="8"/>
    <x v="2"/>
    <s v="No"/>
    <s v="Y"/>
    <n v="0"/>
    <n v="-2"/>
    <n v="0"/>
    <x v="7"/>
    <n v="1"/>
    <n v="1"/>
    <n v="1"/>
    <n v="0"/>
    <n v="600"/>
    <n v="8"/>
    <x v="3"/>
    <n v="1"/>
    <n v="3"/>
    <n v="66"/>
    <n v="2"/>
    <n v="1"/>
    <n v="4"/>
    <n v="2180"/>
    <n v="9732"/>
    <n v="6"/>
    <n v="11"/>
    <n v="3"/>
    <n v="3"/>
    <n v="80"/>
    <n v="1"/>
    <n v="6"/>
    <n v="2"/>
    <n v="4"/>
    <n v="2"/>
    <n v="1"/>
    <n v="2"/>
  </r>
  <r>
    <s v="Yes"/>
    <s v="Travel_Frequently"/>
    <x v="2"/>
    <s v="Ex-Employees"/>
    <x v="2"/>
    <x v="5"/>
    <s v="STAFF-1944"/>
    <x v="1401"/>
    <x v="0"/>
    <x v="8"/>
    <x v="1"/>
    <s v="No"/>
    <s v="Y"/>
    <n v="2"/>
    <n v="-2"/>
    <n v="0"/>
    <x v="4"/>
    <n v="1"/>
    <n v="1"/>
    <n v="1"/>
    <n v="0"/>
    <n v="1337"/>
    <n v="22"/>
    <x v="3"/>
    <n v="1"/>
    <n v="1"/>
    <n v="58"/>
    <n v="2"/>
    <n v="1"/>
    <n v="2"/>
    <n v="2863"/>
    <n v="19555"/>
    <n v="1"/>
    <n v="12"/>
    <n v="3"/>
    <n v="1"/>
    <n v="80"/>
    <n v="0"/>
    <n v="1"/>
    <n v="3"/>
    <n v="1"/>
    <n v="0"/>
    <n v="0"/>
    <n v="0"/>
  </r>
  <r>
    <s v="Yes"/>
    <s v="Travel_Frequently"/>
    <x v="2"/>
    <s v="Ex-Employees"/>
    <x v="1"/>
    <x v="0"/>
    <s v="STAFF-1459"/>
    <x v="1402"/>
    <x v="0"/>
    <x v="3"/>
    <x v="0"/>
    <s v="No"/>
    <s v="Y"/>
    <n v="2"/>
    <n v="-2"/>
    <n v="0"/>
    <x v="12"/>
    <n v="1"/>
    <n v="1"/>
    <n v="1"/>
    <n v="0"/>
    <n v="1445"/>
    <n v="1"/>
    <x v="4"/>
    <n v="1"/>
    <n v="3"/>
    <n v="100"/>
    <n v="4"/>
    <n v="3"/>
    <n v="2"/>
    <n v="7446"/>
    <n v="8931"/>
    <n v="1"/>
    <n v="11"/>
    <n v="3"/>
    <n v="1"/>
    <n v="80"/>
    <n v="0"/>
    <n v="10"/>
    <n v="3"/>
    <n v="10"/>
    <n v="8"/>
    <n v="4"/>
    <n v="7"/>
  </r>
  <r>
    <s v="Yes"/>
    <s v="Travel_Frequently"/>
    <x v="2"/>
    <s v="Ex-Employees"/>
    <x v="1"/>
    <x v="0"/>
    <s v="STAFF-1537"/>
    <x v="1403"/>
    <x v="0"/>
    <x v="1"/>
    <x v="0"/>
    <s v="No"/>
    <s v="Y"/>
    <n v="2"/>
    <n v="-2"/>
    <n v="0"/>
    <x v="12"/>
    <n v="1"/>
    <n v="1"/>
    <n v="1"/>
    <n v="0"/>
    <n v="561"/>
    <n v="3"/>
    <x v="3"/>
    <n v="1"/>
    <n v="4"/>
    <n v="33"/>
    <n v="3"/>
    <n v="1"/>
    <n v="3"/>
    <n v="4084"/>
    <n v="4156"/>
    <n v="1"/>
    <n v="12"/>
    <n v="3"/>
    <n v="1"/>
    <n v="80"/>
    <n v="0"/>
    <n v="7"/>
    <n v="1"/>
    <n v="7"/>
    <n v="2"/>
    <n v="7"/>
    <n v="7"/>
  </r>
  <r>
    <s v="Yes"/>
    <s v="Travel_Frequently"/>
    <x v="2"/>
    <s v="Ex-Employees"/>
    <x v="0"/>
    <x v="4"/>
    <s v="STAFF-1487"/>
    <x v="1404"/>
    <x v="0"/>
    <x v="0"/>
    <x v="0"/>
    <s v="No"/>
    <s v="Y"/>
    <n v="4"/>
    <n v="-2"/>
    <n v="0"/>
    <x v="11"/>
    <n v="1"/>
    <n v="1"/>
    <n v="1"/>
    <n v="0"/>
    <n v="115"/>
    <n v="13"/>
    <x v="3"/>
    <n v="1"/>
    <n v="4"/>
    <n v="51"/>
    <n v="3"/>
    <n v="2"/>
    <n v="4"/>
    <n v="5765"/>
    <n v="17485"/>
    <n v="5"/>
    <n v="11"/>
    <n v="3"/>
    <n v="1"/>
    <n v="80"/>
    <n v="0"/>
    <n v="7"/>
    <n v="1"/>
    <n v="5"/>
    <n v="3"/>
    <n v="0"/>
    <n v="0"/>
  </r>
  <r>
    <s v="Yes"/>
    <s v="Travel_Frequently"/>
    <x v="2"/>
    <s v="Ex-Employees"/>
    <x v="0"/>
    <x v="0"/>
    <s v="STAFF-1427"/>
    <x v="1405"/>
    <x v="0"/>
    <x v="6"/>
    <x v="0"/>
    <s v="No"/>
    <s v="Y"/>
    <n v="3"/>
    <n v="-2"/>
    <n v="0"/>
    <x v="12"/>
    <n v="1"/>
    <n v="1"/>
    <n v="1"/>
    <n v="0"/>
    <n v="667"/>
    <n v="1"/>
    <x v="2"/>
    <n v="1"/>
    <n v="2"/>
    <n v="50"/>
    <n v="1"/>
    <n v="1"/>
    <n v="3"/>
    <n v="1359"/>
    <n v="16154"/>
    <n v="1"/>
    <n v="12"/>
    <n v="3"/>
    <n v="2"/>
    <n v="80"/>
    <n v="0"/>
    <n v="1"/>
    <n v="3"/>
    <n v="1"/>
    <n v="0"/>
    <n v="0"/>
    <n v="0"/>
  </r>
  <r>
    <s v="Yes"/>
    <s v="Travel_Rarely"/>
    <x v="2"/>
    <s v="Ex-Employees"/>
    <x v="2"/>
    <x v="4"/>
    <s v="STAFF-1467"/>
    <x v="1406"/>
    <x v="0"/>
    <x v="8"/>
    <x v="1"/>
    <s v="No"/>
    <s v="Y"/>
    <n v="0"/>
    <n v="-2"/>
    <n v="0"/>
    <x v="13"/>
    <n v="1"/>
    <n v="1"/>
    <n v="1"/>
    <n v="0"/>
    <n v="1107"/>
    <n v="9"/>
    <x v="2"/>
    <n v="1"/>
    <n v="4"/>
    <n v="52"/>
    <n v="3"/>
    <n v="1"/>
    <n v="4"/>
    <n v="2742"/>
    <n v="3072"/>
    <n v="1"/>
    <n v="15"/>
    <n v="3"/>
    <n v="4"/>
    <n v="80"/>
    <n v="0"/>
    <n v="2"/>
    <n v="3"/>
    <n v="2"/>
    <n v="2"/>
    <n v="2"/>
    <n v="2"/>
  </r>
  <r>
    <s v="Yes"/>
    <s v="Travel_Rarely"/>
    <x v="1"/>
    <s v="Ex-Employees"/>
    <x v="1"/>
    <x v="4"/>
    <s v="STAFF-1572"/>
    <x v="1407"/>
    <x v="0"/>
    <x v="3"/>
    <x v="1"/>
    <s v="No"/>
    <s v="Y"/>
    <n v="4"/>
    <n v="-2"/>
    <n v="0"/>
    <x v="16"/>
    <n v="1"/>
    <n v="1"/>
    <n v="1"/>
    <n v="0"/>
    <n v="607"/>
    <n v="2"/>
    <x v="4"/>
    <n v="1"/>
    <n v="3"/>
    <n v="78"/>
    <n v="2"/>
    <n v="3"/>
    <n v="4"/>
    <n v="10169"/>
    <n v="14618"/>
    <n v="0"/>
    <n v="16"/>
    <n v="3"/>
    <n v="2"/>
    <n v="80"/>
    <n v="1"/>
    <n v="34"/>
    <n v="3"/>
    <n v="33"/>
    <n v="7"/>
    <n v="1"/>
    <n v="9"/>
  </r>
  <r>
    <s v="Yes"/>
    <s v="Travel_Rarely"/>
    <x v="2"/>
    <s v="Ex-Employees"/>
    <x v="1"/>
    <x v="0"/>
    <s v="STAFF-1433"/>
    <x v="1408"/>
    <x v="0"/>
    <x v="1"/>
    <x v="0"/>
    <s v="No"/>
    <s v="Y"/>
    <n v="3"/>
    <n v="-2"/>
    <n v="0"/>
    <x v="12"/>
    <n v="1"/>
    <n v="1"/>
    <n v="1"/>
    <n v="0"/>
    <n v="202"/>
    <n v="8"/>
    <x v="3"/>
    <n v="1"/>
    <n v="1"/>
    <n v="34"/>
    <n v="2"/>
    <n v="1"/>
    <n v="2"/>
    <n v="1261"/>
    <n v="22262"/>
    <n v="1"/>
    <n v="12"/>
    <n v="3"/>
    <n v="3"/>
    <n v="80"/>
    <n v="0"/>
    <n v="1"/>
    <n v="4"/>
    <n v="1"/>
    <n v="0"/>
    <n v="0"/>
    <n v="0"/>
  </r>
  <r>
    <s v="Yes"/>
    <s v="Travel_Rarely"/>
    <x v="2"/>
    <s v="Ex-Employees"/>
    <x v="0"/>
    <x v="3"/>
    <s v="STAFF-1752"/>
    <x v="1409"/>
    <x v="0"/>
    <x v="6"/>
    <x v="0"/>
    <s v="No"/>
    <s v="Y"/>
    <n v="3"/>
    <n v="-2"/>
    <n v="0"/>
    <x v="11"/>
    <n v="1"/>
    <n v="1"/>
    <n v="1"/>
    <n v="0"/>
    <n v="428"/>
    <n v="9"/>
    <x v="3"/>
    <n v="1"/>
    <n v="2"/>
    <n v="52"/>
    <n v="1"/>
    <n v="1"/>
    <n v="1"/>
    <n v="2760"/>
    <n v="14630"/>
    <n v="1"/>
    <n v="13"/>
    <n v="3"/>
    <n v="3"/>
    <n v="80"/>
    <n v="0"/>
    <n v="2"/>
    <n v="3"/>
    <n v="2"/>
    <n v="2"/>
    <n v="2"/>
    <n v="2"/>
  </r>
  <r>
    <s v="Yes"/>
    <s v="Travel_Frequently"/>
    <x v="2"/>
    <s v="Ex-Employees"/>
    <x v="1"/>
    <x v="0"/>
    <s v="STAFF-1807"/>
    <x v="1410"/>
    <x v="1"/>
    <x v="2"/>
    <x v="1"/>
    <s v="No"/>
    <s v="Y"/>
    <n v="3"/>
    <n v="-2"/>
    <n v="0"/>
    <x v="13"/>
    <n v="1"/>
    <n v="1"/>
    <n v="1"/>
    <n v="0"/>
    <n v="234"/>
    <n v="9"/>
    <x v="2"/>
    <n v="1"/>
    <n v="4"/>
    <n v="93"/>
    <n v="3"/>
    <n v="2"/>
    <n v="1"/>
    <n v="5346"/>
    <n v="6208"/>
    <n v="4"/>
    <n v="17"/>
    <n v="3"/>
    <n v="3"/>
    <n v="80"/>
    <n v="1"/>
    <n v="11"/>
    <n v="2"/>
    <n v="7"/>
    <n v="1"/>
    <n v="0"/>
    <n v="7"/>
  </r>
  <r>
    <s v="Yes"/>
    <s v="Travel_Frequently"/>
    <x v="2"/>
    <s v="Ex-Employees"/>
    <x v="1"/>
    <x v="2"/>
    <s v="STAFF-1504"/>
    <x v="1411"/>
    <x v="1"/>
    <x v="2"/>
    <x v="0"/>
    <s v="No"/>
    <s v="Y"/>
    <n v="2"/>
    <n v="-2"/>
    <n v="0"/>
    <x v="14"/>
    <n v="1"/>
    <n v="1"/>
    <n v="1"/>
    <n v="0"/>
    <n v="289"/>
    <n v="2"/>
    <x v="0"/>
    <n v="1"/>
    <n v="3"/>
    <n v="38"/>
    <n v="2"/>
    <n v="1"/>
    <n v="1"/>
    <n v="2561"/>
    <n v="5355"/>
    <n v="7"/>
    <n v="11"/>
    <n v="3"/>
    <n v="3"/>
    <n v="80"/>
    <n v="0"/>
    <n v="8"/>
    <n v="2"/>
    <n v="0"/>
    <n v="0"/>
    <n v="0"/>
    <n v="0"/>
  </r>
  <r>
    <s v="Yes"/>
    <s v="Travel_Frequently"/>
    <x v="1"/>
    <s v="Ex-Employees"/>
    <x v="0"/>
    <x v="0"/>
    <s v="STAFF-2044"/>
    <x v="1412"/>
    <x v="1"/>
    <x v="0"/>
    <x v="2"/>
    <s v="No"/>
    <s v="Y"/>
    <n v="3"/>
    <n v="-2"/>
    <n v="0"/>
    <x v="24"/>
    <n v="1"/>
    <n v="1"/>
    <n v="1"/>
    <n v="0"/>
    <n v="878"/>
    <n v="1"/>
    <x v="2"/>
    <n v="1"/>
    <n v="2"/>
    <n v="94"/>
    <n v="3"/>
    <n v="2"/>
    <n v="3"/>
    <n v="6728"/>
    <n v="14255"/>
    <n v="7"/>
    <n v="12"/>
    <n v="3"/>
    <n v="4"/>
    <n v="80"/>
    <n v="2"/>
    <n v="12"/>
    <n v="3"/>
    <n v="6"/>
    <n v="3"/>
    <n v="0"/>
    <n v="1"/>
  </r>
  <r>
    <s v="Yes"/>
    <s v="Travel_Frequently"/>
    <x v="1"/>
    <s v="Ex-Employees"/>
    <x v="0"/>
    <x v="0"/>
    <s v="STAFF-1716"/>
    <x v="1413"/>
    <x v="1"/>
    <x v="0"/>
    <x v="1"/>
    <s v="No"/>
    <s v="Y"/>
    <n v="3"/>
    <n v="-2"/>
    <n v="0"/>
    <x v="40"/>
    <n v="1"/>
    <n v="1"/>
    <n v="1"/>
    <n v="0"/>
    <n v="1093"/>
    <n v="9"/>
    <x v="3"/>
    <n v="1"/>
    <n v="3"/>
    <n v="82"/>
    <n v="1"/>
    <n v="4"/>
    <n v="3"/>
    <n v="12936"/>
    <n v="24164"/>
    <n v="7"/>
    <n v="11"/>
    <n v="3"/>
    <n v="3"/>
    <n v="80"/>
    <n v="0"/>
    <n v="25"/>
    <n v="1"/>
    <n v="23"/>
    <n v="5"/>
    <n v="14"/>
    <n v="10"/>
  </r>
  <r>
    <s v="Yes"/>
    <s v="Travel_Frequently"/>
    <x v="2"/>
    <s v="Ex-Employees"/>
    <x v="0"/>
    <x v="4"/>
    <s v="STAFF-1486"/>
    <x v="1414"/>
    <x v="1"/>
    <x v="6"/>
    <x v="1"/>
    <s v="No"/>
    <s v="Y"/>
    <n v="3"/>
    <n v="-2"/>
    <n v="0"/>
    <x v="14"/>
    <n v="1"/>
    <n v="1"/>
    <n v="1"/>
    <n v="0"/>
    <n v="1496"/>
    <n v="1"/>
    <x v="3"/>
    <n v="1"/>
    <n v="1"/>
    <n v="92"/>
    <n v="3"/>
    <n v="1"/>
    <n v="4"/>
    <n v="2909"/>
    <n v="15747"/>
    <n v="3"/>
    <n v="15"/>
    <n v="3"/>
    <n v="4"/>
    <n v="80"/>
    <n v="1"/>
    <n v="5"/>
    <n v="4"/>
    <n v="3"/>
    <n v="2"/>
    <n v="1"/>
    <n v="2"/>
  </r>
  <r>
    <s v="Yes"/>
    <s v="Travel_Frequently"/>
    <x v="4"/>
    <s v="Ex-Employees"/>
    <x v="0"/>
    <x v="3"/>
    <s v="STAFF-2023"/>
    <x v="1415"/>
    <x v="1"/>
    <x v="6"/>
    <x v="1"/>
    <s v="No"/>
    <s v="Y"/>
    <n v="3"/>
    <n v="-2"/>
    <n v="0"/>
    <x v="30"/>
    <n v="1"/>
    <n v="1"/>
    <n v="1"/>
    <n v="0"/>
    <n v="638"/>
    <n v="9"/>
    <x v="3"/>
    <n v="1"/>
    <n v="4"/>
    <n v="33"/>
    <n v="3"/>
    <n v="1"/>
    <n v="1"/>
    <n v="1790"/>
    <n v="26956"/>
    <n v="1"/>
    <n v="19"/>
    <n v="3"/>
    <n v="1"/>
    <n v="80"/>
    <n v="1"/>
    <n v="1"/>
    <n v="2"/>
    <n v="1"/>
    <n v="0"/>
    <n v="1"/>
    <n v="0"/>
  </r>
  <r>
    <s v="Yes"/>
    <s v="Travel_Frequently"/>
    <x v="2"/>
    <s v="Ex-Employees"/>
    <x v="0"/>
    <x v="4"/>
    <s v="STAFF-1928"/>
    <x v="1416"/>
    <x v="1"/>
    <x v="6"/>
    <x v="0"/>
    <s v="No"/>
    <s v="Y"/>
    <n v="3"/>
    <n v="-2"/>
    <n v="0"/>
    <x v="11"/>
    <n v="1"/>
    <n v="1"/>
    <n v="1"/>
    <n v="0"/>
    <n v="746"/>
    <n v="24"/>
    <x v="3"/>
    <n v="1"/>
    <n v="3"/>
    <n v="45"/>
    <n v="4"/>
    <n v="1"/>
    <n v="4"/>
    <n v="1091"/>
    <n v="10642"/>
    <n v="1"/>
    <n v="17"/>
    <n v="3"/>
    <n v="4"/>
    <n v="80"/>
    <n v="0"/>
    <n v="1"/>
    <n v="3"/>
    <n v="1"/>
    <n v="0"/>
    <n v="0"/>
    <n v="0"/>
  </r>
  <r>
    <s v="Yes"/>
    <s v="Travel_Rarely"/>
    <x v="2"/>
    <s v="Ex-Employees"/>
    <x v="2"/>
    <x v="5"/>
    <s v="STAFF-1842"/>
    <x v="1417"/>
    <x v="1"/>
    <x v="8"/>
    <x v="1"/>
    <s v="No"/>
    <s v="Y"/>
    <n v="4"/>
    <n v="-2"/>
    <n v="0"/>
    <x v="12"/>
    <n v="1"/>
    <n v="1"/>
    <n v="1"/>
    <n v="0"/>
    <n v="359"/>
    <n v="18"/>
    <x v="4"/>
    <n v="1"/>
    <n v="4"/>
    <n v="89"/>
    <n v="4"/>
    <n v="1"/>
    <n v="1"/>
    <n v="2956"/>
    <n v="21495"/>
    <n v="0"/>
    <n v="17"/>
    <n v="3"/>
    <n v="3"/>
    <n v="80"/>
    <n v="0"/>
    <n v="2"/>
    <n v="3"/>
    <n v="1"/>
    <n v="0"/>
    <n v="0"/>
    <n v="0"/>
  </r>
  <r>
    <s v="Yes"/>
    <s v="Travel_Rarely"/>
    <x v="4"/>
    <s v="Ex-Employees"/>
    <x v="2"/>
    <x v="5"/>
    <s v="STAFF-1714"/>
    <x v="1418"/>
    <x v="1"/>
    <x v="8"/>
    <x v="1"/>
    <s v="No"/>
    <s v="Y"/>
    <n v="2"/>
    <n v="-2"/>
    <n v="0"/>
    <x v="17"/>
    <n v="1"/>
    <n v="1"/>
    <n v="1"/>
    <n v="0"/>
    <n v="240"/>
    <n v="22"/>
    <x v="1"/>
    <n v="1"/>
    <n v="4"/>
    <n v="58"/>
    <n v="1"/>
    <n v="1"/>
    <n v="3"/>
    <n v="1555"/>
    <n v="11585"/>
    <n v="1"/>
    <n v="11"/>
    <n v="3"/>
    <n v="3"/>
    <n v="80"/>
    <n v="1"/>
    <n v="1"/>
    <n v="3"/>
    <n v="1"/>
    <n v="0"/>
    <n v="0"/>
    <n v="0"/>
  </r>
  <r>
    <s v="Yes"/>
    <s v="Travel_Rarely"/>
    <x v="2"/>
    <s v="Ex-Employees"/>
    <x v="1"/>
    <x v="4"/>
    <s v="STAFF-1960"/>
    <x v="1419"/>
    <x v="1"/>
    <x v="2"/>
    <x v="2"/>
    <s v="No"/>
    <s v="Y"/>
    <n v="2"/>
    <n v="-2"/>
    <n v="0"/>
    <x v="14"/>
    <n v="1"/>
    <n v="1"/>
    <n v="1"/>
    <n v="0"/>
    <n v="1404"/>
    <n v="17"/>
    <x v="3"/>
    <n v="1"/>
    <n v="3"/>
    <n v="32"/>
    <n v="2"/>
    <n v="1"/>
    <n v="4"/>
    <n v="2367"/>
    <n v="18779"/>
    <n v="5"/>
    <n v="12"/>
    <n v="3"/>
    <n v="1"/>
    <n v="80"/>
    <n v="1"/>
    <n v="6"/>
    <n v="2"/>
    <n v="4"/>
    <n v="1"/>
    <n v="0"/>
    <n v="3"/>
  </r>
  <r>
    <s v="Yes"/>
    <s v="Travel_Rarely"/>
    <x v="3"/>
    <s v="Ex-Employees"/>
    <x v="1"/>
    <x v="4"/>
    <s v="STAFF-2032"/>
    <x v="1420"/>
    <x v="1"/>
    <x v="2"/>
    <x v="1"/>
    <s v="No"/>
    <s v="Y"/>
    <n v="4"/>
    <n v="-2"/>
    <n v="0"/>
    <x v="29"/>
    <n v="1"/>
    <n v="1"/>
    <n v="1"/>
    <n v="0"/>
    <n v="310"/>
    <n v="7"/>
    <x v="0"/>
    <n v="1"/>
    <n v="4"/>
    <n v="72"/>
    <n v="3"/>
    <n v="1"/>
    <n v="4"/>
    <n v="2339"/>
    <n v="3666"/>
    <n v="8"/>
    <n v="11"/>
    <n v="3"/>
    <n v="4"/>
    <n v="80"/>
    <n v="1"/>
    <n v="14"/>
    <n v="1"/>
    <n v="10"/>
    <n v="9"/>
    <n v="9"/>
    <n v="8"/>
  </r>
  <r>
    <s v="Yes"/>
    <s v="Travel_Rarely"/>
    <x v="0"/>
    <s v="Ex-Employees"/>
    <x v="1"/>
    <x v="2"/>
    <s v="STAFF-1573"/>
    <x v="1421"/>
    <x v="1"/>
    <x v="3"/>
    <x v="1"/>
    <s v="No"/>
    <s v="Y"/>
    <n v="2"/>
    <n v="-2"/>
    <n v="0"/>
    <x v="8"/>
    <n v="1"/>
    <n v="1"/>
    <n v="1"/>
    <n v="0"/>
    <n v="903"/>
    <n v="2"/>
    <x v="3"/>
    <n v="1"/>
    <n v="3"/>
    <n v="81"/>
    <n v="3"/>
    <n v="2"/>
    <n v="2"/>
    <n v="4855"/>
    <n v="7653"/>
    <n v="4"/>
    <n v="11"/>
    <n v="3"/>
    <n v="1"/>
    <n v="80"/>
    <n v="2"/>
    <n v="7"/>
    <n v="3"/>
    <n v="5"/>
    <n v="2"/>
    <n v="1"/>
    <n v="4"/>
  </r>
  <r>
    <s v="Yes"/>
    <s v="Travel_Rarely"/>
    <x v="2"/>
    <s v="Ex-Employees"/>
    <x v="1"/>
    <x v="4"/>
    <s v="STAFF-1522"/>
    <x v="1422"/>
    <x v="1"/>
    <x v="1"/>
    <x v="0"/>
    <s v="No"/>
    <s v="Y"/>
    <n v="2"/>
    <n v="-2"/>
    <n v="0"/>
    <x v="11"/>
    <n v="1"/>
    <n v="1"/>
    <n v="1"/>
    <n v="0"/>
    <n v="224"/>
    <n v="1"/>
    <x v="2"/>
    <n v="1"/>
    <n v="1"/>
    <n v="100"/>
    <n v="2"/>
    <n v="1"/>
    <n v="1"/>
    <n v="2362"/>
    <n v="7568"/>
    <n v="6"/>
    <n v="13"/>
    <n v="3"/>
    <n v="3"/>
    <n v="80"/>
    <n v="0"/>
    <n v="11"/>
    <n v="1"/>
    <n v="9"/>
    <n v="7"/>
    <n v="0"/>
    <n v="7"/>
  </r>
  <r>
    <s v="Yes"/>
    <s v="Travel_Rarely"/>
    <x v="3"/>
    <s v="Ex-Employees"/>
    <x v="1"/>
    <x v="0"/>
    <s v="STAFF-1907"/>
    <x v="1423"/>
    <x v="1"/>
    <x v="2"/>
    <x v="0"/>
    <s v="No"/>
    <s v="Y"/>
    <n v="3"/>
    <n v="-2"/>
    <n v="0"/>
    <x v="29"/>
    <n v="1"/>
    <n v="1"/>
    <n v="1"/>
    <n v="0"/>
    <n v="1162"/>
    <n v="24"/>
    <x v="0"/>
    <n v="1"/>
    <n v="1"/>
    <n v="97"/>
    <n v="3"/>
    <n v="1"/>
    <n v="4"/>
    <n v="2587"/>
    <n v="10261"/>
    <n v="1"/>
    <n v="16"/>
    <n v="3"/>
    <n v="4"/>
    <n v="80"/>
    <n v="0"/>
    <n v="5"/>
    <n v="3"/>
    <n v="4"/>
    <n v="2"/>
    <n v="1"/>
    <n v="0"/>
  </r>
  <r>
    <s v="Yes"/>
    <s v="Travel_Rarely"/>
    <x v="0"/>
    <s v="Ex-Employees"/>
    <x v="1"/>
    <x v="0"/>
    <s v="STAFF-1534"/>
    <x v="1424"/>
    <x v="1"/>
    <x v="2"/>
    <x v="0"/>
    <s v="No"/>
    <s v="Y"/>
    <n v="3"/>
    <n v="-2"/>
    <n v="0"/>
    <x v="32"/>
    <n v="1"/>
    <n v="1"/>
    <n v="1"/>
    <n v="0"/>
    <n v="676"/>
    <n v="9"/>
    <x v="2"/>
    <n v="1"/>
    <n v="4"/>
    <n v="86"/>
    <n v="3"/>
    <n v="1"/>
    <n v="1"/>
    <n v="2018"/>
    <n v="21831"/>
    <n v="3"/>
    <n v="14"/>
    <n v="3"/>
    <n v="2"/>
    <n v="80"/>
    <n v="0"/>
    <n v="15"/>
    <n v="1"/>
    <n v="5"/>
    <n v="4"/>
    <n v="1"/>
    <n v="0"/>
  </r>
  <r>
    <s v="Yes"/>
    <s v="Travel_Rarely"/>
    <x v="0"/>
    <s v="Ex-Employees"/>
    <x v="1"/>
    <x v="2"/>
    <s v="STAFF-1809"/>
    <x v="1425"/>
    <x v="1"/>
    <x v="3"/>
    <x v="0"/>
    <s v="No"/>
    <s v="Y"/>
    <n v="4"/>
    <n v="-2"/>
    <n v="0"/>
    <x v="2"/>
    <n v="1"/>
    <n v="1"/>
    <n v="1"/>
    <n v="0"/>
    <n v="370"/>
    <n v="10"/>
    <x v="2"/>
    <n v="1"/>
    <n v="4"/>
    <n v="58"/>
    <n v="3"/>
    <n v="2"/>
    <n v="1"/>
    <n v="4213"/>
    <n v="4992"/>
    <n v="1"/>
    <n v="15"/>
    <n v="3"/>
    <n v="2"/>
    <n v="80"/>
    <n v="0"/>
    <n v="10"/>
    <n v="1"/>
    <n v="10"/>
    <n v="3"/>
    <n v="0"/>
    <n v="8"/>
  </r>
  <r>
    <s v="Yes"/>
    <s v="Travel_Rarely"/>
    <x v="2"/>
    <s v="Ex-Employees"/>
    <x v="1"/>
    <x v="0"/>
    <s v="STAFF-1692"/>
    <x v="1426"/>
    <x v="1"/>
    <x v="2"/>
    <x v="0"/>
    <s v="No"/>
    <s v="Y"/>
    <n v="2"/>
    <n v="-2"/>
    <n v="0"/>
    <x v="5"/>
    <n v="1"/>
    <n v="1"/>
    <n v="1"/>
    <n v="0"/>
    <n v="1259"/>
    <n v="2"/>
    <x v="2"/>
    <n v="1"/>
    <n v="4"/>
    <n v="95"/>
    <n v="3"/>
    <n v="1"/>
    <n v="2"/>
    <n v="1393"/>
    <n v="24852"/>
    <n v="1"/>
    <n v="12"/>
    <n v="3"/>
    <n v="1"/>
    <n v="80"/>
    <n v="0"/>
    <n v="1"/>
    <n v="3"/>
    <n v="1"/>
    <n v="0"/>
    <n v="0"/>
    <n v="0"/>
  </r>
  <r>
    <s v="Yes"/>
    <s v="Travel_Rarely"/>
    <x v="1"/>
    <s v="Ex-Employees"/>
    <x v="0"/>
    <x v="3"/>
    <s v="STAFF-1457"/>
    <x v="1427"/>
    <x v="1"/>
    <x v="0"/>
    <x v="2"/>
    <s v="No"/>
    <s v="Y"/>
    <n v="1"/>
    <n v="-2"/>
    <n v="0"/>
    <x v="21"/>
    <n v="1"/>
    <n v="1"/>
    <n v="1"/>
    <n v="0"/>
    <n v="377"/>
    <n v="9"/>
    <x v="3"/>
    <n v="1"/>
    <n v="1"/>
    <n v="52"/>
    <n v="3"/>
    <n v="3"/>
    <n v="1"/>
    <n v="10096"/>
    <n v="15986"/>
    <n v="4"/>
    <n v="11"/>
    <n v="3"/>
    <n v="1"/>
    <n v="80"/>
    <n v="1"/>
    <n v="28"/>
    <n v="4"/>
    <n v="7"/>
    <n v="7"/>
    <n v="4"/>
    <n v="3"/>
  </r>
  <r>
    <s v="Yes"/>
    <s v="Travel_Rarely"/>
    <x v="2"/>
    <s v="Ex-Employees"/>
    <x v="0"/>
    <x v="0"/>
    <s v="STAFF-1439"/>
    <x v="1428"/>
    <x v="1"/>
    <x v="6"/>
    <x v="1"/>
    <s v="No"/>
    <s v="Y"/>
    <n v="2"/>
    <n v="-2"/>
    <n v="0"/>
    <x v="36"/>
    <n v="1"/>
    <n v="1"/>
    <n v="1"/>
    <n v="0"/>
    <n v="383"/>
    <n v="9"/>
    <x v="0"/>
    <n v="1"/>
    <n v="1"/>
    <n v="68"/>
    <n v="2"/>
    <n v="1"/>
    <n v="1"/>
    <n v="4400"/>
    <n v="15182"/>
    <n v="3"/>
    <n v="12"/>
    <n v="3"/>
    <n v="1"/>
    <n v="80"/>
    <n v="0"/>
    <n v="6"/>
    <n v="3"/>
    <n v="3"/>
    <n v="2"/>
    <n v="2"/>
    <n v="2"/>
  </r>
  <r>
    <s v="Yes"/>
    <s v="Travel_Rarely"/>
    <x v="0"/>
    <s v="Ex-Employees"/>
    <x v="0"/>
    <x v="2"/>
    <s v="STAFF-1639"/>
    <x v="1429"/>
    <x v="1"/>
    <x v="0"/>
    <x v="1"/>
    <s v="No"/>
    <s v="Y"/>
    <n v="3"/>
    <n v="-2"/>
    <n v="0"/>
    <x v="10"/>
    <n v="1"/>
    <n v="1"/>
    <n v="1"/>
    <n v="0"/>
    <n v="737"/>
    <n v="10"/>
    <x v="3"/>
    <n v="1"/>
    <n v="4"/>
    <n v="55"/>
    <n v="2"/>
    <n v="3"/>
    <n v="1"/>
    <n v="10306"/>
    <n v="21530"/>
    <n v="9"/>
    <n v="17"/>
    <n v="3"/>
    <n v="3"/>
    <n v="80"/>
    <n v="0"/>
    <n v="15"/>
    <n v="3"/>
    <n v="13"/>
    <n v="12"/>
    <n v="6"/>
    <n v="0"/>
  </r>
  <r>
    <s v="Yes"/>
    <s v="Travel_Rarely"/>
    <x v="2"/>
    <s v="Ex-Employees"/>
    <x v="0"/>
    <x v="0"/>
    <s v="STAFF-1562"/>
    <x v="1430"/>
    <x v="1"/>
    <x v="0"/>
    <x v="1"/>
    <s v="No"/>
    <s v="Y"/>
    <n v="4"/>
    <n v="-2"/>
    <n v="0"/>
    <x v="7"/>
    <n v="1"/>
    <n v="1"/>
    <n v="1"/>
    <n v="0"/>
    <n v="740"/>
    <n v="1"/>
    <x v="3"/>
    <n v="1"/>
    <n v="2"/>
    <n v="64"/>
    <n v="2"/>
    <n v="2"/>
    <n v="1"/>
    <n v="9714"/>
    <n v="5323"/>
    <n v="1"/>
    <n v="11"/>
    <n v="3"/>
    <n v="4"/>
    <n v="80"/>
    <n v="1"/>
    <n v="10"/>
    <n v="3"/>
    <n v="10"/>
    <n v="8"/>
    <n v="6"/>
    <n v="7"/>
  </r>
  <r>
    <s v="Yes"/>
    <s v="Travel_Rarely"/>
    <x v="2"/>
    <s v="Ex-Employees"/>
    <x v="0"/>
    <x v="3"/>
    <s v="STAFF-1761"/>
    <x v="1431"/>
    <x v="1"/>
    <x v="0"/>
    <x v="1"/>
    <s v="No"/>
    <s v="Y"/>
    <n v="2"/>
    <n v="-2"/>
    <n v="0"/>
    <x v="12"/>
    <n v="1"/>
    <n v="1"/>
    <n v="1"/>
    <n v="0"/>
    <n v="1079"/>
    <n v="16"/>
    <x v="2"/>
    <n v="1"/>
    <n v="1"/>
    <n v="70"/>
    <n v="3"/>
    <n v="3"/>
    <n v="1"/>
    <n v="8161"/>
    <n v="19002"/>
    <n v="2"/>
    <n v="13"/>
    <n v="3"/>
    <n v="1"/>
    <n v="80"/>
    <n v="3"/>
    <n v="10"/>
    <n v="3"/>
    <n v="1"/>
    <n v="0"/>
    <n v="0"/>
    <n v="0"/>
  </r>
  <r>
    <s v="Yes"/>
    <s v="Travel_Rarely"/>
    <x v="2"/>
    <s v="Ex-Employees"/>
    <x v="0"/>
    <x v="0"/>
    <s v="STAFF-1734"/>
    <x v="1432"/>
    <x v="1"/>
    <x v="0"/>
    <x v="0"/>
    <s v="No"/>
    <s v="Y"/>
    <n v="2"/>
    <n v="-2"/>
    <n v="0"/>
    <x v="5"/>
    <n v="1"/>
    <n v="1"/>
    <n v="1"/>
    <n v="0"/>
    <n v="964"/>
    <n v="1"/>
    <x v="0"/>
    <n v="1"/>
    <n v="1"/>
    <n v="34"/>
    <n v="1"/>
    <n v="2"/>
    <n v="2"/>
    <n v="6735"/>
    <n v="12147"/>
    <n v="6"/>
    <n v="15"/>
    <n v="3"/>
    <n v="2"/>
    <n v="80"/>
    <n v="0"/>
    <n v="10"/>
    <n v="3"/>
    <n v="0"/>
    <n v="0"/>
    <n v="0"/>
    <n v="0"/>
  </r>
  <r>
    <s v="Yes"/>
    <s v="Travel_Rarely"/>
    <x v="4"/>
    <s v="Ex-Employees"/>
    <x v="0"/>
    <x v="3"/>
    <s v="STAFF-1780"/>
    <x v="1433"/>
    <x v="1"/>
    <x v="6"/>
    <x v="0"/>
    <s v="No"/>
    <s v="Y"/>
    <n v="3"/>
    <n v="-2"/>
    <n v="0"/>
    <x v="18"/>
    <n v="1"/>
    <n v="1"/>
    <n v="1"/>
    <n v="0"/>
    <n v="337"/>
    <n v="7"/>
    <x v="1"/>
    <n v="1"/>
    <n v="2"/>
    <n v="31"/>
    <n v="3"/>
    <n v="1"/>
    <n v="1"/>
    <n v="2679"/>
    <n v="4567"/>
    <n v="1"/>
    <n v="13"/>
    <n v="3"/>
    <n v="2"/>
    <n v="80"/>
    <n v="0"/>
    <n v="1"/>
    <n v="3"/>
    <n v="1"/>
    <n v="0"/>
    <n v="1"/>
    <n v="0"/>
  </r>
  <r>
    <s v="Yes"/>
    <s v="Travel_Rarely"/>
    <x v="2"/>
    <s v="Ex-Employees"/>
    <x v="0"/>
    <x v="2"/>
    <s v="STAFF-1876"/>
    <x v="1434"/>
    <x v="1"/>
    <x v="6"/>
    <x v="0"/>
    <s v="No"/>
    <s v="Y"/>
    <n v="3"/>
    <n v="-2"/>
    <n v="0"/>
    <x v="7"/>
    <n v="1"/>
    <n v="1"/>
    <n v="1"/>
    <n v="0"/>
    <n v="945"/>
    <n v="9"/>
    <x v="3"/>
    <n v="1"/>
    <n v="2"/>
    <n v="89"/>
    <n v="3"/>
    <n v="1"/>
    <n v="4"/>
    <n v="1081"/>
    <n v="16019"/>
    <n v="1"/>
    <n v="13"/>
    <n v="3"/>
    <n v="3"/>
    <n v="80"/>
    <n v="0"/>
    <n v="1"/>
    <n v="2"/>
    <n v="1"/>
    <n v="0"/>
    <n v="0"/>
    <n v="0"/>
  </r>
  <r>
    <s v="Yes"/>
    <s v="Travel_Frequently"/>
    <x v="2"/>
    <s v="Ex-Employees"/>
    <x v="1"/>
    <x v="0"/>
    <s v="STAFF-1939"/>
    <x v="1435"/>
    <x v="0"/>
    <x v="1"/>
    <x v="0"/>
    <s v="Yes"/>
    <s v="Y"/>
    <n v="2"/>
    <n v="-2"/>
    <n v="0"/>
    <x v="5"/>
    <n v="1"/>
    <n v="1"/>
    <n v="1"/>
    <n v="0"/>
    <n v="238"/>
    <n v="5"/>
    <x v="0"/>
    <n v="1"/>
    <n v="1"/>
    <n v="47"/>
    <n v="4"/>
    <n v="1"/>
    <n v="3"/>
    <n v="2432"/>
    <n v="15318"/>
    <n v="3"/>
    <n v="14"/>
    <n v="3"/>
    <n v="1"/>
    <n v="80"/>
    <n v="0"/>
    <n v="8"/>
    <n v="3"/>
    <n v="4"/>
    <n v="1"/>
    <n v="0"/>
    <n v="3"/>
  </r>
  <r>
    <s v="Yes"/>
    <s v="Travel_Frequently"/>
    <x v="2"/>
    <s v="Ex-Employees"/>
    <x v="1"/>
    <x v="1"/>
    <s v="STAFF-1421"/>
    <x v="1436"/>
    <x v="0"/>
    <x v="4"/>
    <x v="0"/>
    <s v="Yes"/>
    <s v="Y"/>
    <n v="1"/>
    <n v="-2"/>
    <n v="0"/>
    <x v="11"/>
    <n v="1"/>
    <n v="1"/>
    <n v="1"/>
    <n v="0"/>
    <n v="337"/>
    <n v="14"/>
    <x v="1"/>
    <n v="1"/>
    <n v="3"/>
    <n v="84"/>
    <n v="3"/>
    <n v="3"/>
    <n v="4"/>
    <n v="7553"/>
    <n v="22930"/>
    <n v="0"/>
    <n v="12"/>
    <n v="3"/>
    <n v="1"/>
    <n v="80"/>
    <n v="0"/>
    <n v="9"/>
    <n v="3"/>
    <n v="8"/>
    <n v="7"/>
    <n v="7"/>
    <n v="7"/>
  </r>
  <r>
    <s v="Yes"/>
    <s v="Travel_Frequently"/>
    <x v="1"/>
    <s v="Ex-Employees"/>
    <x v="0"/>
    <x v="2"/>
    <s v="STAFF-1691"/>
    <x v="1437"/>
    <x v="0"/>
    <x v="6"/>
    <x v="1"/>
    <s v="Yes"/>
    <s v="Y"/>
    <n v="3"/>
    <n v="-2"/>
    <n v="0"/>
    <x v="26"/>
    <n v="1"/>
    <n v="1"/>
    <n v="1"/>
    <n v="0"/>
    <n v="708"/>
    <n v="7"/>
    <x v="0"/>
    <n v="1"/>
    <n v="4"/>
    <n v="95"/>
    <n v="3"/>
    <n v="1"/>
    <n v="3"/>
    <n v="2655"/>
    <n v="11740"/>
    <n v="2"/>
    <n v="11"/>
    <n v="3"/>
    <n v="3"/>
    <n v="80"/>
    <n v="2"/>
    <n v="19"/>
    <n v="3"/>
    <n v="9"/>
    <n v="7"/>
    <n v="7"/>
    <n v="7"/>
  </r>
  <r>
    <s v="Yes"/>
    <s v="Travel_Frequently"/>
    <x v="4"/>
    <s v="Ex-Employees"/>
    <x v="0"/>
    <x v="2"/>
    <s v="STAFF-1624"/>
    <x v="1438"/>
    <x v="0"/>
    <x v="6"/>
    <x v="0"/>
    <s v="Yes"/>
    <s v="Y"/>
    <n v="2"/>
    <n v="-2"/>
    <n v="0"/>
    <x v="41"/>
    <n v="1"/>
    <n v="1"/>
    <n v="1"/>
    <n v="0"/>
    <n v="544"/>
    <n v="3"/>
    <x v="0"/>
    <n v="1"/>
    <n v="2"/>
    <n v="70"/>
    <n v="3"/>
    <n v="1"/>
    <n v="4"/>
    <n v="1569"/>
    <n v="18420"/>
    <n v="1"/>
    <n v="12"/>
    <n v="3"/>
    <n v="3"/>
    <n v="80"/>
    <n v="0"/>
    <n v="0"/>
    <n v="4"/>
    <n v="0"/>
    <n v="0"/>
    <n v="0"/>
    <n v="0"/>
  </r>
  <r>
    <s v="Yes"/>
    <s v="Travel_Rarely"/>
    <x v="2"/>
    <s v="Ex-Employees"/>
    <x v="2"/>
    <x v="2"/>
    <s v="STAFF-1818"/>
    <x v="1439"/>
    <x v="0"/>
    <x v="8"/>
    <x v="1"/>
    <s v="Yes"/>
    <s v="Y"/>
    <n v="3"/>
    <n v="-2"/>
    <n v="0"/>
    <x v="25"/>
    <n v="1"/>
    <n v="1"/>
    <n v="1"/>
    <n v="0"/>
    <n v="920"/>
    <n v="20"/>
    <x v="0"/>
    <n v="1"/>
    <n v="4"/>
    <n v="69"/>
    <n v="3"/>
    <n v="1"/>
    <n v="2"/>
    <n v="2148"/>
    <n v="6889"/>
    <n v="0"/>
    <n v="11"/>
    <n v="3"/>
    <n v="3"/>
    <n v="80"/>
    <n v="0"/>
    <n v="6"/>
    <n v="3"/>
    <n v="5"/>
    <n v="1"/>
    <n v="1"/>
    <n v="4"/>
  </r>
  <r>
    <s v="Yes"/>
    <s v="Travel_Rarely"/>
    <x v="0"/>
    <s v="Ex-Employees"/>
    <x v="1"/>
    <x v="0"/>
    <s v="STAFF-1569"/>
    <x v="1440"/>
    <x v="0"/>
    <x v="2"/>
    <x v="2"/>
    <s v="Yes"/>
    <s v="Y"/>
    <n v="2"/>
    <n v="-2"/>
    <n v="0"/>
    <x v="10"/>
    <n v="1"/>
    <n v="1"/>
    <n v="1"/>
    <n v="0"/>
    <n v="104"/>
    <n v="2"/>
    <x v="3"/>
    <n v="1"/>
    <n v="1"/>
    <n v="69"/>
    <n v="3"/>
    <n v="1"/>
    <n v="1"/>
    <n v="2074"/>
    <n v="26619"/>
    <n v="1"/>
    <n v="12"/>
    <n v="3"/>
    <n v="4"/>
    <n v="80"/>
    <n v="1"/>
    <n v="1"/>
    <n v="3"/>
    <n v="1"/>
    <n v="0"/>
    <n v="0"/>
    <n v="0"/>
  </r>
  <r>
    <s v="Yes"/>
    <s v="Travel_Rarely"/>
    <x v="4"/>
    <s v="Ex-Employees"/>
    <x v="1"/>
    <x v="2"/>
    <s v="STAFF-1783"/>
    <x v="1441"/>
    <x v="0"/>
    <x v="2"/>
    <x v="1"/>
    <s v="Yes"/>
    <s v="Y"/>
    <n v="6"/>
    <n v="-2"/>
    <n v="0"/>
    <x v="15"/>
    <n v="1"/>
    <n v="1"/>
    <n v="1"/>
    <n v="0"/>
    <n v="1294"/>
    <n v="8"/>
    <x v="1"/>
    <n v="1"/>
    <n v="3"/>
    <n v="79"/>
    <n v="3"/>
    <n v="1"/>
    <n v="1"/>
    <n v="2398"/>
    <n v="15999"/>
    <n v="1"/>
    <n v="17"/>
    <n v="3"/>
    <n v="3"/>
    <n v="80"/>
    <n v="0"/>
    <n v="1"/>
    <n v="3"/>
    <n v="1"/>
    <n v="0"/>
    <n v="0"/>
    <n v="0"/>
  </r>
  <r>
    <s v="Yes"/>
    <s v="Travel_Rarely"/>
    <x v="2"/>
    <s v="Ex-Employees"/>
    <x v="0"/>
    <x v="3"/>
    <s v="STAFF-1933"/>
    <x v="1442"/>
    <x v="0"/>
    <x v="0"/>
    <x v="0"/>
    <s v="Yes"/>
    <s v="Y"/>
    <n v="0"/>
    <n v="-2"/>
    <n v="0"/>
    <x v="14"/>
    <n v="1"/>
    <n v="1"/>
    <n v="1"/>
    <n v="0"/>
    <n v="1475"/>
    <n v="13"/>
    <x v="0"/>
    <n v="1"/>
    <n v="4"/>
    <n v="84"/>
    <n v="3"/>
    <n v="2"/>
    <n v="1"/>
    <n v="9854"/>
    <n v="23352"/>
    <n v="3"/>
    <n v="11"/>
    <n v="3"/>
    <n v="4"/>
    <n v="80"/>
    <n v="0"/>
    <n v="6"/>
    <n v="3"/>
    <n v="2"/>
    <n v="0"/>
    <n v="2"/>
    <n v="2"/>
  </r>
  <r>
    <s v="Yes"/>
    <s v="Travel_Frequently"/>
    <x v="0"/>
    <s v="Ex-Employees"/>
    <x v="1"/>
    <x v="2"/>
    <s v="STAFF-1792"/>
    <x v="1443"/>
    <x v="1"/>
    <x v="1"/>
    <x v="2"/>
    <s v="Yes"/>
    <s v="Y"/>
    <n v="2"/>
    <n v="-2"/>
    <n v="0"/>
    <x v="20"/>
    <n v="1"/>
    <n v="1"/>
    <n v="1"/>
    <n v="0"/>
    <n v="429"/>
    <n v="1"/>
    <x v="0"/>
    <n v="1"/>
    <n v="3"/>
    <n v="99"/>
    <n v="3"/>
    <n v="1"/>
    <n v="2"/>
    <n v="2342"/>
    <n v="11092"/>
    <n v="1"/>
    <n v="12"/>
    <n v="3"/>
    <n v="3"/>
    <n v="80"/>
    <n v="3"/>
    <n v="6"/>
    <n v="2"/>
    <n v="5"/>
    <n v="3"/>
    <n v="2"/>
    <n v="3"/>
  </r>
  <r>
    <s v="Yes"/>
    <s v="Travel_Frequently"/>
    <x v="2"/>
    <s v="Ex-Employees"/>
    <x v="1"/>
    <x v="0"/>
    <s v="STAFF-1464"/>
    <x v="1444"/>
    <x v="1"/>
    <x v="2"/>
    <x v="1"/>
    <s v="Yes"/>
    <s v="Y"/>
    <n v="2"/>
    <n v="-2"/>
    <n v="0"/>
    <x v="12"/>
    <n v="1"/>
    <n v="1"/>
    <n v="1"/>
    <n v="0"/>
    <n v="523"/>
    <n v="2"/>
    <x v="3"/>
    <n v="1"/>
    <n v="2"/>
    <n v="94"/>
    <n v="3"/>
    <n v="1"/>
    <n v="4"/>
    <n v="3722"/>
    <n v="21081"/>
    <n v="6"/>
    <n v="13"/>
    <n v="3"/>
    <n v="3"/>
    <n v="80"/>
    <n v="1"/>
    <n v="7"/>
    <n v="1"/>
    <n v="2"/>
    <n v="2"/>
    <n v="2"/>
    <n v="2"/>
  </r>
  <r>
    <s v="Yes"/>
    <s v="Travel_Frequently"/>
    <x v="0"/>
    <s v="Ex-Employees"/>
    <x v="1"/>
    <x v="4"/>
    <s v="STAFF-1767"/>
    <x v="1445"/>
    <x v="1"/>
    <x v="1"/>
    <x v="1"/>
    <s v="Yes"/>
    <s v="Y"/>
    <n v="4"/>
    <n v="-2"/>
    <n v="0"/>
    <x v="23"/>
    <n v="1"/>
    <n v="1"/>
    <n v="1"/>
    <n v="0"/>
    <n v="807"/>
    <n v="17"/>
    <x v="3"/>
    <n v="1"/>
    <n v="3"/>
    <n v="38"/>
    <n v="2"/>
    <n v="1"/>
    <n v="3"/>
    <n v="2437"/>
    <n v="15587"/>
    <n v="9"/>
    <n v="16"/>
    <n v="3"/>
    <n v="4"/>
    <n v="80"/>
    <n v="1"/>
    <n v="6"/>
    <n v="3"/>
    <n v="1"/>
    <n v="0"/>
    <n v="0"/>
    <n v="0"/>
  </r>
  <r>
    <s v="Yes"/>
    <s v="Travel_Frequently"/>
    <x v="4"/>
    <s v="Ex-Employees"/>
    <x v="1"/>
    <x v="2"/>
    <s v="STAFF-1494"/>
    <x v="1446"/>
    <x v="1"/>
    <x v="2"/>
    <x v="0"/>
    <s v="Yes"/>
    <s v="Y"/>
    <n v="2"/>
    <n v="-2"/>
    <n v="0"/>
    <x v="17"/>
    <n v="1"/>
    <n v="1"/>
    <n v="1"/>
    <n v="0"/>
    <n v="381"/>
    <n v="9"/>
    <x v="3"/>
    <n v="1"/>
    <n v="2"/>
    <n v="89"/>
    <n v="3"/>
    <n v="1"/>
    <n v="1"/>
    <n v="3172"/>
    <n v="16998"/>
    <n v="2"/>
    <n v="11"/>
    <n v="3"/>
    <n v="3"/>
    <n v="80"/>
    <n v="0"/>
    <n v="4"/>
    <n v="2"/>
    <n v="0"/>
    <n v="0"/>
    <n v="0"/>
    <n v="0"/>
  </r>
  <r>
    <s v="Yes"/>
    <s v="Travel_Frequently"/>
    <x v="2"/>
    <s v="Ex-Employees"/>
    <x v="0"/>
    <x v="3"/>
    <s v="STAFF-1967"/>
    <x v="1447"/>
    <x v="1"/>
    <x v="0"/>
    <x v="1"/>
    <s v="Yes"/>
    <s v="Y"/>
    <n v="4"/>
    <n v="-2"/>
    <n v="0"/>
    <x v="12"/>
    <n v="1"/>
    <n v="1"/>
    <n v="1"/>
    <n v="0"/>
    <n v="754"/>
    <n v="26"/>
    <x v="2"/>
    <n v="1"/>
    <n v="1"/>
    <n v="63"/>
    <n v="3"/>
    <n v="2"/>
    <n v="1"/>
    <n v="5617"/>
    <n v="21075"/>
    <n v="1"/>
    <n v="11"/>
    <n v="3"/>
    <n v="3"/>
    <n v="80"/>
    <n v="0"/>
    <n v="10"/>
    <n v="3"/>
    <n v="10"/>
    <n v="7"/>
    <n v="0"/>
    <n v="8"/>
  </r>
  <r>
    <s v="Yes"/>
    <s v="Travel_Rarely"/>
    <x v="2"/>
    <s v="Ex-Employees"/>
    <x v="2"/>
    <x v="5"/>
    <s v="STAFF-1844"/>
    <x v="1448"/>
    <x v="1"/>
    <x v="8"/>
    <x v="2"/>
    <s v="Yes"/>
    <s v="Y"/>
    <n v="3"/>
    <n v="-2"/>
    <n v="0"/>
    <x v="11"/>
    <n v="1"/>
    <n v="1"/>
    <n v="1"/>
    <n v="0"/>
    <n v="350"/>
    <n v="13"/>
    <x v="3"/>
    <n v="1"/>
    <n v="1"/>
    <n v="56"/>
    <n v="2"/>
    <n v="1"/>
    <n v="1"/>
    <n v="2335"/>
    <n v="3157"/>
    <n v="4"/>
    <n v="15"/>
    <n v="3"/>
    <n v="4"/>
    <n v="80"/>
    <n v="3"/>
    <n v="4"/>
    <n v="3"/>
    <n v="2"/>
    <n v="2"/>
    <n v="2"/>
    <n v="0"/>
  </r>
  <r>
    <s v="Yes"/>
    <s v="Travel_Rarely"/>
    <x v="2"/>
    <s v="Ex-Employees"/>
    <x v="1"/>
    <x v="2"/>
    <s v="STAFF-2027"/>
    <x v="1449"/>
    <x v="1"/>
    <x v="1"/>
    <x v="1"/>
    <s v="Yes"/>
    <s v="Y"/>
    <n v="3"/>
    <n v="-2"/>
    <n v="0"/>
    <x v="11"/>
    <n v="1"/>
    <n v="1"/>
    <n v="1"/>
    <n v="0"/>
    <n v="1092"/>
    <n v="1"/>
    <x v="2"/>
    <n v="1"/>
    <n v="1"/>
    <n v="36"/>
    <n v="3"/>
    <n v="1"/>
    <n v="4"/>
    <n v="4787"/>
    <n v="26124"/>
    <n v="9"/>
    <n v="14"/>
    <n v="3"/>
    <n v="2"/>
    <n v="80"/>
    <n v="3"/>
    <n v="4"/>
    <n v="4"/>
    <n v="2"/>
    <n v="2"/>
    <n v="2"/>
    <n v="2"/>
  </r>
  <r>
    <s v="Yes"/>
    <s v="Travel_Rarely"/>
    <x v="2"/>
    <s v="Ex-Employees"/>
    <x v="1"/>
    <x v="2"/>
    <s v="STAFF-1604"/>
    <x v="1450"/>
    <x v="1"/>
    <x v="2"/>
    <x v="1"/>
    <s v="Yes"/>
    <s v="Y"/>
    <n v="3"/>
    <n v="-2"/>
    <n v="0"/>
    <x v="14"/>
    <n v="1"/>
    <n v="1"/>
    <n v="1"/>
    <n v="0"/>
    <n v="329"/>
    <n v="24"/>
    <x v="3"/>
    <n v="1"/>
    <n v="3"/>
    <n v="51"/>
    <n v="3"/>
    <n v="1"/>
    <n v="2"/>
    <n v="2408"/>
    <n v="7324"/>
    <n v="1"/>
    <n v="17"/>
    <n v="3"/>
    <n v="3"/>
    <n v="80"/>
    <n v="3"/>
    <n v="1"/>
    <n v="3"/>
    <n v="1"/>
    <n v="1"/>
    <n v="0"/>
    <n v="0"/>
  </r>
  <r>
    <s v="Yes"/>
    <s v="Travel_Rarely"/>
    <x v="0"/>
    <s v="Ex-Employees"/>
    <x v="1"/>
    <x v="0"/>
    <s v="STAFF-1649"/>
    <x v="1451"/>
    <x v="1"/>
    <x v="2"/>
    <x v="0"/>
    <s v="Yes"/>
    <s v="Y"/>
    <n v="3"/>
    <n v="-2"/>
    <n v="0"/>
    <x v="32"/>
    <n v="1"/>
    <n v="1"/>
    <n v="1"/>
    <n v="0"/>
    <n v="1329"/>
    <n v="7"/>
    <x v="3"/>
    <n v="1"/>
    <n v="1"/>
    <n v="73"/>
    <n v="3"/>
    <n v="1"/>
    <n v="1"/>
    <n v="2166"/>
    <n v="3339"/>
    <n v="3"/>
    <n v="14"/>
    <n v="3"/>
    <n v="2"/>
    <n v="80"/>
    <n v="0"/>
    <n v="10"/>
    <n v="1"/>
    <n v="4"/>
    <n v="2"/>
    <n v="0"/>
    <n v="3"/>
  </r>
  <r>
    <s v="Yes"/>
    <s v="Travel_Rarely"/>
    <x v="4"/>
    <s v="Ex-Employees"/>
    <x v="1"/>
    <x v="2"/>
    <s v="STAFF-1684"/>
    <x v="1452"/>
    <x v="1"/>
    <x v="2"/>
    <x v="0"/>
    <s v="Yes"/>
    <s v="Y"/>
    <n v="2"/>
    <n v="-2"/>
    <n v="0"/>
    <x v="30"/>
    <n v="1"/>
    <n v="1"/>
    <n v="1"/>
    <n v="0"/>
    <n v="1320"/>
    <n v="8"/>
    <x v="1"/>
    <n v="1"/>
    <n v="4"/>
    <n v="93"/>
    <n v="2"/>
    <n v="1"/>
    <n v="3"/>
    <n v="3989"/>
    <n v="20586"/>
    <n v="1"/>
    <n v="11"/>
    <n v="3"/>
    <n v="1"/>
    <n v="80"/>
    <n v="0"/>
    <n v="5"/>
    <n v="3"/>
    <n v="5"/>
    <n v="4"/>
    <n v="1"/>
    <n v="2"/>
  </r>
  <r>
    <s v="Yes"/>
    <s v="Travel_Rarely"/>
    <x v="1"/>
    <s v="Ex-Employees"/>
    <x v="0"/>
    <x v="3"/>
    <s v="STAFF-2055"/>
    <x v="1453"/>
    <x v="1"/>
    <x v="0"/>
    <x v="2"/>
    <s v="Yes"/>
    <s v="Y"/>
    <n v="3"/>
    <n v="-2"/>
    <n v="0"/>
    <x v="24"/>
    <n v="1"/>
    <n v="1"/>
    <n v="1"/>
    <n v="0"/>
    <n v="410"/>
    <n v="28"/>
    <x v="3"/>
    <n v="1"/>
    <n v="4"/>
    <n v="39"/>
    <n v="2"/>
    <n v="3"/>
    <n v="1"/>
    <n v="10854"/>
    <n v="16586"/>
    <n v="4"/>
    <n v="13"/>
    <n v="3"/>
    <n v="2"/>
    <n v="80"/>
    <n v="1"/>
    <n v="20"/>
    <n v="3"/>
    <n v="3"/>
    <n v="2"/>
    <n v="2"/>
    <n v="0"/>
  </r>
  <r>
    <s v="Yes"/>
    <s v="Travel_Rarely"/>
    <x v="0"/>
    <s v="Ex-Employees"/>
    <x v="0"/>
    <x v="2"/>
    <s v="STAFF-1645"/>
    <x v="1454"/>
    <x v="1"/>
    <x v="0"/>
    <x v="2"/>
    <s v="Yes"/>
    <s v="Y"/>
    <n v="2"/>
    <n v="-2"/>
    <n v="0"/>
    <x v="10"/>
    <n v="1"/>
    <n v="1"/>
    <n v="1"/>
    <n v="0"/>
    <n v="763"/>
    <n v="15"/>
    <x v="0"/>
    <n v="1"/>
    <n v="1"/>
    <n v="59"/>
    <n v="1"/>
    <n v="2"/>
    <n v="4"/>
    <n v="5440"/>
    <n v="22098"/>
    <n v="6"/>
    <n v="14"/>
    <n v="3"/>
    <n v="4"/>
    <n v="80"/>
    <n v="2"/>
    <n v="7"/>
    <n v="2"/>
    <n v="2"/>
    <n v="2"/>
    <n v="2"/>
    <n v="2"/>
  </r>
  <r>
    <s v="Yes"/>
    <s v="Travel_Rarely"/>
    <x v="0"/>
    <s v="Ex-Employees"/>
    <x v="0"/>
    <x v="3"/>
    <s v="STAFF-1733"/>
    <x v="1455"/>
    <x v="1"/>
    <x v="0"/>
    <x v="2"/>
    <s v="Yes"/>
    <s v="Y"/>
    <n v="3"/>
    <n v="-2"/>
    <n v="0"/>
    <x v="9"/>
    <n v="1"/>
    <n v="1"/>
    <n v="1"/>
    <n v="0"/>
    <n v="1456"/>
    <n v="13"/>
    <x v="4"/>
    <n v="1"/>
    <n v="2"/>
    <n v="96"/>
    <n v="2"/>
    <n v="2"/>
    <n v="1"/>
    <n v="6134"/>
    <n v="8658"/>
    <n v="5"/>
    <n v="13"/>
    <n v="3"/>
    <n v="2"/>
    <n v="80"/>
    <n v="3"/>
    <n v="16"/>
    <n v="3"/>
    <n v="2"/>
    <n v="2"/>
    <n v="2"/>
    <n v="2"/>
  </r>
  <r>
    <s v="Yes"/>
    <s v="Travel_Rarely"/>
    <x v="1"/>
    <s v="Ex-Employees"/>
    <x v="0"/>
    <x v="0"/>
    <s v="STAFF-1968"/>
    <x v="1456"/>
    <x v="1"/>
    <x v="0"/>
    <x v="0"/>
    <s v="Yes"/>
    <s v="Y"/>
    <n v="2"/>
    <n v="-2"/>
    <n v="0"/>
    <x v="16"/>
    <n v="1"/>
    <n v="1"/>
    <n v="1"/>
    <n v="0"/>
    <n v="1168"/>
    <n v="24"/>
    <x v="2"/>
    <n v="1"/>
    <n v="1"/>
    <n v="66"/>
    <n v="3"/>
    <n v="3"/>
    <n v="1"/>
    <n v="10448"/>
    <n v="5843"/>
    <n v="6"/>
    <n v="13"/>
    <n v="3"/>
    <n v="2"/>
    <n v="80"/>
    <n v="0"/>
    <n v="15"/>
    <n v="2"/>
    <n v="2"/>
    <n v="2"/>
    <n v="2"/>
    <n v="2"/>
  </r>
  <r>
    <s v="Yes"/>
    <s v="Travel_Rarely"/>
    <x v="2"/>
    <s v="Ex-Employees"/>
    <x v="0"/>
    <x v="3"/>
    <s v="STAFF-1862"/>
    <x v="1457"/>
    <x v="1"/>
    <x v="0"/>
    <x v="0"/>
    <s v="Yes"/>
    <s v="Y"/>
    <n v="3"/>
    <n v="-2"/>
    <n v="0"/>
    <x v="5"/>
    <n v="1"/>
    <n v="1"/>
    <n v="1"/>
    <n v="0"/>
    <n v="414"/>
    <n v="2"/>
    <x v="2"/>
    <n v="1"/>
    <n v="3"/>
    <n v="82"/>
    <n v="2"/>
    <n v="2"/>
    <n v="2"/>
    <n v="9907"/>
    <n v="26186"/>
    <n v="7"/>
    <n v="12"/>
    <n v="3"/>
    <n v="3"/>
    <n v="80"/>
    <n v="0"/>
    <n v="7"/>
    <n v="2"/>
    <n v="2"/>
    <n v="2"/>
    <n v="2"/>
    <n v="2"/>
  </r>
  <r>
    <s v="Yes"/>
    <s v="Travel_Rarely"/>
    <x v="0"/>
    <s v="Ex-Employees"/>
    <x v="0"/>
    <x v="0"/>
    <s v="STAFF-1797"/>
    <x v="1458"/>
    <x v="1"/>
    <x v="0"/>
    <x v="0"/>
    <s v="Yes"/>
    <s v="Y"/>
    <n v="2"/>
    <n v="-2"/>
    <n v="0"/>
    <x v="10"/>
    <n v="1"/>
    <n v="1"/>
    <n v="1"/>
    <n v="0"/>
    <n v="303"/>
    <n v="27"/>
    <x v="3"/>
    <n v="1"/>
    <n v="3"/>
    <n v="84"/>
    <n v="3"/>
    <n v="2"/>
    <n v="4"/>
    <n v="5813"/>
    <n v="13492"/>
    <n v="1"/>
    <n v="18"/>
    <n v="3"/>
    <n v="4"/>
    <n v="80"/>
    <n v="0"/>
    <n v="10"/>
    <n v="3"/>
    <n v="10"/>
    <n v="7"/>
    <n v="7"/>
    <n v="7"/>
  </r>
  <r>
    <s v="Yes"/>
    <s v="Travel_Rarely"/>
    <x v="1"/>
    <s v="Ex-Employees"/>
    <x v="1"/>
    <x v="2"/>
    <s v="STAFF-1821"/>
    <x v="1459"/>
    <x v="0"/>
    <x v="4"/>
    <x v="1"/>
    <s v="No"/>
    <s v="Y"/>
    <n v="2"/>
    <n v="-2"/>
    <n v="0"/>
    <x v="21"/>
    <n v="1"/>
    <n v="1"/>
    <n v="1"/>
    <n v="0"/>
    <n v="261"/>
    <n v="21"/>
    <x v="0"/>
    <n v="1"/>
    <n v="4"/>
    <n v="66"/>
    <n v="3"/>
    <n v="2"/>
    <n v="2"/>
    <n v="8926"/>
    <n v="10842"/>
    <n v="4"/>
    <n v="22"/>
    <n v="4"/>
    <n v="4"/>
    <n v="80"/>
    <n v="1"/>
    <n v="13"/>
    <n v="4"/>
    <n v="9"/>
    <n v="7"/>
    <n v="3"/>
    <n v="7"/>
  </r>
  <r>
    <s v="Yes"/>
    <s v="Travel_Rarely"/>
    <x v="1"/>
    <s v="Ex-Employees"/>
    <x v="0"/>
    <x v="0"/>
    <s v="STAFF-1869"/>
    <x v="1460"/>
    <x v="0"/>
    <x v="0"/>
    <x v="1"/>
    <s v="No"/>
    <s v="Y"/>
    <n v="2"/>
    <n v="-2"/>
    <n v="0"/>
    <x v="21"/>
    <n v="1"/>
    <n v="1"/>
    <n v="1"/>
    <n v="0"/>
    <n v="1254"/>
    <n v="10"/>
    <x v="3"/>
    <n v="1"/>
    <n v="3"/>
    <n v="64"/>
    <n v="3"/>
    <n v="3"/>
    <n v="2"/>
    <n v="7314"/>
    <n v="14011"/>
    <n v="5"/>
    <n v="21"/>
    <n v="4"/>
    <n v="3"/>
    <n v="80"/>
    <n v="3"/>
    <n v="14"/>
    <n v="3"/>
    <n v="8"/>
    <n v="7"/>
    <n v="0"/>
    <n v="7"/>
  </r>
  <r>
    <s v="Yes"/>
    <s v="Travel_Frequently"/>
    <x v="1"/>
    <s v="Ex-Employees"/>
    <x v="1"/>
    <x v="0"/>
    <s v="STAFF-1420"/>
    <x v="1461"/>
    <x v="1"/>
    <x v="2"/>
    <x v="0"/>
    <s v="No"/>
    <s v="Y"/>
    <n v="2"/>
    <n v="-2"/>
    <n v="0"/>
    <x v="1"/>
    <n v="1"/>
    <n v="1"/>
    <n v="1"/>
    <n v="0"/>
    <n v="1475"/>
    <n v="28"/>
    <x v="0"/>
    <n v="1"/>
    <n v="1"/>
    <n v="97"/>
    <n v="2"/>
    <n v="2"/>
    <n v="1"/>
    <n v="4284"/>
    <n v="22710"/>
    <n v="3"/>
    <n v="20"/>
    <n v="4"/>
    <n v="1"/>
    <n v="80"/>
    <n v="0"/>
    <n v="20"/>
    <n v="3"/>
    <n v="4"/>
    <n v="3"/>
    <n v="1"/>
    <n v="3"/>
  </r>
  <r>
    <s v="Yes"/>
    <s v="Non-Travel"/>
    <x v="0"/>
    <s v="Ex-Employees"/>
    <x v="1"/>
    <x v="0"/>
    <s v="STAFF-1458"/>
    <x v="1462"/>
    <x v="0"/>
    <x v="2"/>
    <x v="0"/>
    <s v="Yes"/>
    <s v="Y"/>
    <n v="2"/>
    <n v="-2"/>
    <n v="0"/>
    <x v="22"/>
    <n v="1"/>
    <n v="1"/>
    <n v="1"/>
    <n v="0"/>
    <n v="592"/>
    <n v="2"/>
    <x v="3"/>
    <n v="1"/>
    <n v="1"/>
    <n v="54"/>
    <n v="2"/>
    <n v="1"/>
    <n v="1"/>
    <n v="3646"/>
    <n v="17181"/>
    <n v="2"/>
    <n v="23"/>
    <n v="4"/>
    <n v="2"/>
    <n v="80"/>
    <n v="0"/>
    <n v="11"/>
    <n v="4"/>
    <n v="1"/>
    <n v="0"/>
    <n v="0"/>
    <n v="0"/>
  </r>
  <r>
    <s v="Yes"/>
    <s v="Travel_Rarely"/>
    <x v="2"/>
    <s v="Ex-Employees"/>
    <x v="0"/>
    <x v="2"/>
    <s v="STAFF-1489"/>
    <x v="1463"/>
    <x v="0"/>
    <x v="0"/>
    <x v="0"/>
    <s v="Yes"/>
    <s v="Y"/>
    <n v="2"/>
    <n v="-2"/>
    <n v="0"/>
    <x v="13"/>
    <n v="1"/>
    <n v="1"/>
    <n v="1"/>
    <n v="0"/>
    <n v="790"/>
    <n v="24"/>
    <x v="2"/>
    <n v="1"/>
    <n v="1"/>
    <n v="40"/>
    <n v="2"/>
    <n v="2"/>
    <n v="2"/>
    <n v="4599"/>
    <n v="7815"/>
    <n v="0"/>
    <n v="23"/>
    <n v="4"/>
    <n v="3"/>
    <n v="80"/>
    <n v="0"/>
    <n v="16"/>
    <n v="4"/>
    <n v="15"/>
    <n v="9"/>
    <n v="10"/>
    <n v="10"/>
  </r>
  <r>
    <s v="Yes"/>
    <s v="Travel_Rarely"/>
    <x v="2"/>
    <s v="Ex-Employees"/>
    <x v="0"/>
    <x v="0"/>
    <s v="STAFF-1758"/>
    <x v="1464"/>
    <x v="0"/>
    <x v="0"/>
    <x v="0"/>
    <s v="Yes"/>
    <s v="Y"/>
    <n v="2"/>
    <n v="-2"/>
    <n v="0"/>
    <x v="3"/>
    <n v="1"/>
    <n v="1"/>
    <n v="1"/>
    <n v="0"/>
    <n v="211"/>
    <n v="16"/>
    <x v="3"/>
    <n v="1"/>
    <n v="1"/>
    <n v="74"/>
    <n v="3"/>
    <n v="3"/>
    <n v="1"/>
    <n v="8564"/>
    <n v="10092"/>
    <n v="2"/>
    <n v="20"/>
    <n v="4"/>
    <n v="3"/>
    <n v="80"/>
    <n v="0"/>
    <n v="11"/>
    <n v="2"/>
    <n v="0"/>
    <n v="0"/>
    <n v="0"/>
    <n v="0"/>
  </r>
  <r>
    <s v="Yes"/>
    <s v="Non-Travel"/>
    <x v="2"/>
    <s v="Ex-Employees"/>
    <x v="1"/>
    <x v="4"/>
    <s v="STAFF-1905"/>
    <x v="1465"/>
    <x v="1"/>
    <x v="1"/>
    <x v="1"/>
    <s v="Yes"/>
    <s v="Y"/>
    <n v="2"/>
    <n v="-2"/>
    <n v="0"/>
    <x v="13"/>
    <n v="1"/>
    <n v="1"/>
    <n v="1"/>
    <n v="0"/>
    <n v="967"/>
    <n v="16"/>
    <x v="2"/>
    <n v="1"/>
    <n v="4"/>
    <n v="85"/>
    <n v="1"/>
    <n v="1"/>
    <n v="1"/>
    <n v="2307"/>
    <n v="14460"/>
    <n v="1"/>
    <n v="23"/>
    <n v="4"/>
    <n v="2"/>
    <n v="80"/>
    <n v="1"/>
    <n v="5"/>
    <n v="3"/>
    <n v="5"/>
    <n v="2"/>
    <n v="3"/>
    <n v="0"/>
  </r>
  <r>
    <s v="Yes"/>
    <s v="Travel_Frequently"/>
    <x v="2"/>
    <s v="Ex-Employees"/>
    <x v="1"/>
    <x v="0"/>
    <s v="STAFF-1868"/>
    <x v="1466"/>
    <x v="1"/>
    <x v="1"/>
    <x v="0"/>
    <s v="Yes"/>
    <s v="Y"/>
    <n v="3"/>
    <n v="-2"/>
    <n v="0"/>
    <x v="11"/>
    <n v="1"/>
    <n v="1"/>
    <n v="1"/>
    <n v="0"/>
    <n v="459"/>
    <n v="24"/>
    <x v="0"/>
    <n v="1"/>
    <n v="4"/>
    <n v="73"/>
    <n v="2"/>
    <n v="1"/>
    <n v="4"/>
    <n v="2439"/>
    <n v="14753"/>
    <n v="1"/>
    <n v="24"/>
    <n v="4"/>
    <n v="2"/>
    <n v="80"/>
    <n v="0"/>
    <n v="1"/>
    <n v="2"/>
    <n v="1"/>
    <n v="0"/>
    <n v="1"/>
    <n v="0"/>
  </r>
  <r>
    <s v="Yes"/>
    <s v="Travel_Frequently"/>
    <x v="0"/>
    <s v="Ex-Employees"/>
    <x v="0"/>
    <x v="1"/>
    <s v="STAFF-1667"/>
    <x v="1467"/>
    <x v="1"/>
    <x v="0"/>
    <x v="0"/>
    <s v="Yes"/>
    <s v="Y"/>
    <n v="2"/>
    <n v="-2"/>
    <n v="0"/>
    <x v="10"/>
    <n v="1"/>
    <n v="1"/>
    <n v="1"/>
    <n v="0"/>
    <n v="880"/>
    <n v="12"/>
    <x v="2"/>
    <n v="1"/>
    <n v="4"/>
    <n v="36"/>
    <n v="3"/>
    <n v="2"/>
    <n v="4"/>
    <n v="4581"/>
    <n v="10414"/>
    <n v="3"/>
    <n v="24"/>
    <n v="4"/>
    <n v="1"/>
    <n v="80"/>
    <n v="0"/>
    <n v="13"/>
    <n v="4"/>
    <n v="11"/>
    <n v="9"/>
    <n v="6"/>
    <n v="7"/>
  </r>
  <r>
    <s v="Yes"/>
    <s v="Travel_Rarely"/>
    <x v="4"/>
    <s v="Ex-Employees"/>
    <x v="1"/>
    <x v="0"/>
    <s v="STAFF-1878"/>
    <x v="1468"/>
    <x v="1"/>
    <x v="1"/>
    <x v="0"/>
    <s v="Yes"/>
    <s v="Y"/>
    <n v="2"/>
    <n v="-2"/>
    <n v="0"/>
    <x v="15"/>
    <n v="1"/>
    <n v="1"/>
    <n v="1"/>
    <n v="0"/>
    <n v="391"/>
    <n v="7"/>
    <x v="1"/>
    <n v="1"/>
    <n v="4"/>
    <n v="75"/>
    <n v="3"/>
    <n v="1"/>
    <n v="2"/>
    <n v="2472"/>
    <n v="26092"/>
    <n v="1"/>
    <n v="23"/>
    <n v="4"/>
    <n v="1"/>
    <n v="80"/>
    <n v="0"/>
    <n v="1"/>
    <n v="3"/>
    <n v="1"/>
    <n v="0"/>
    <n v="0"/>
    <n v="0"/>
  </r>
  <r>
    <s v="Yes"/>
    <s v="Travel_Rarely"/>
    <x v="4"/>
    <s v="Ex-Employees"/>
    <x v="0"/>
    <x v="0"/>
    <s v="STAFF-1702"/>
    <x v="1469"/>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A55E13-408F-5C47-8647-8AA6121EB61A}" name="KPI" cacheId="2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48CA60-7163-364C-B9A1-6C702651FD5A}" name="Rating" cacheId="2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78E8E7-0E06-C142-98B4-800B3CD0D560}" name="Employee by Gender" cacheId="2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FDA992-5FCE-214C-A0D9-A9164BA94FD3}" name="Education-wise Attrition" cacheId="2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B1A16D-79DE-1346-AB5C-E7990ECA177C}" name="Attrition By Job Role" cacheId="2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CF_attrition count"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E10F38-9E0E-224B-ADE1-7CCD16660319}" name="Department-wise Attrition" cacheId="2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E7CA10-E29A-CF47-A46B-B12D56D6D53D}" name="Attrition By Age-Group" cacheId="2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4"/>
    </i>
    <i>
      <x v="3"/>
    </i>
    <i t="grand">
      <x/>
    </i>
  </rowItems>
  <colItems count="1">
    <i/>
  </colItems>
  <dataFields count="1">
    <dataField name="Count of CF_attrition count" fld="17"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62B818-37CF-B84D-AEA1-B20486F322A6}" name="Attrition By Marriage Status" cacheId="2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CF_attrition count"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68701805-D1C9-834A-92D7-EFC3FD14B3EE}" sourceName="Gender">
  <pivotTables>
    <pivotTable tabId="10" name="Employee by Gender"/>
    <pivotTable tabId="15" name="Attrition By Age-Group"/>
    <pivotTable tabId="13" name="Attrition By Job Role"/>
    <pivotTable tabId="16" name="Attrition By Marriage Status"/>
    <pivotTable tabId="14" name="Department-wise Attrition"/>
    <pivotTable tabId="12" name="Education-wise Attrition"/>
    <pivotTable tabId="7" name="KPI"/>
    <pivotTable tabId="9" name="Rating"/>
  </pivotTables>
  <data>
    <tabular pivotCacheId="153895255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0EFB230-4892-E648-9525-5500141971D3}" sourceName="Education">
  <pivotTables>
    <pivotTable tabId="12" name="Education-wise Attrition"/>
  </pivotTables>
  <data>
    <tabular pivotCacheId="1538952553">
      <items count="5">
        <i x="0" s="1"/>
        <i x="3"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69AB470-D3AA-B941-9163-64620E3B5881}" sourceName="Marital Status">
  <pivotTables>
    <pivotTable tabId="16" name="Attrition By Marriage Status"/>
  </pivotTables>
  <data>
    <tabular pivotCacheId="1538952553">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0618E30-7BD6-D442-B07D-462FC4E7E95C}" sourceName="Department">
  <pivotTables>
    <pivotTable tabId="16" name="Attrition By Marriage Status"/>
    <pivotTable tabId="15" name="Attrition By Age-Group"/>
    <pivotTable tabId="13" name="Attrition By Job Role"/>
    <pivotTable tabId="14" name="Department-wise Attrition"/>
    <pivotTable tabId="12" name="Education-wise Attrition"/>
    <pivotTable tabId="10" name="Employee by Gender"/>
    <pivotTable tabId="7" name="KPI"/>
    <pivotTable tabId="9" name="Rating"/>
  </pivotTables>
  <data>
    <tabular pivotCacheId="1538952553">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CC3F18DD-573E-684D-ABFD-862FCF4C2B44}" sourceName="Education Field">
  <pivotTables>
    <pivotTable tabId="16" name="Attrition By Marriage Status"/>
    <pivotTable tabId="15" name="Attrition By Age-Group"/>
    <pivotTable tabId="13" name="Attrition By Job Role"/>
    <pivotTable tabId="14" name="Department-wise Attrition"/>
    <pivotTable tabId="12" name="Education-wise Attrition"/>
    <pivotTable tabId="10" name="Employee by Gender"/>
    <pivotTable tabId="7" name="KPI"/>
    <pivotTable tabId="9" name="Rating"/>
  </pivotTables>
  <data>
    <tabular pivotCacheId="1538952553">
      <items count="6">
        <i x="5" s="1"/>
        <i x="0" s="1"/>
        <i x="3" s="1"/>
        <i x="2" s="1"/>
        <i x="1"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6C08D82F-8689-4324-84C3-CD335376B473}" sourceName="Job Role">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5EFE6EB-0D0A-7F49-9C42-7A61091680C6}" cache="Slicer_Gender2" caption="Gender"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A6EA602-9094-F94B-BF7F-948DFD8804F7}" cache="Slicer_Gender2" caption="Gender" rowHeight="251883"/>
  <slicer name="Education Field" xr10:uid="{A16B6899-6D0D-D244-A4F2-BA5BCA2ABD57}" cache="Slicer_Education_Field2" caption="Education Field"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BDE34C9A-7180-F54B-B719-6924C35B8E67}" cache="Slicer_Gender2" caption="Gender" rowHeight="251883"/>
  <slicer name="Education Field 1" xr10:uid="{9E536ABD-FFC3-4248-BE70-70BBAFBF2647}" cache="Slicer_Education_Field2" caption="Education Field"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CBE90AB0-EBB8-234E-B8CF-2737C4203C3D}" cache="Slicer_Education" caption="Education"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Role" xr10:uid="{5AE03964-0941-4026-BED2-4B462FF1CF97}" cache="Slicer_Job_Role" caption="Job Role" rowHeight="2603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DB8D35B-4C96-E243-AFAE-ABBA4FE28611}" cache="Slicer_Marital_Status" caption="Marital Status" rowHeight="251883"/>
  <slicer name="Department" xr10:uid="{0C04C096-2994-5147-B9BA-91385FADF1DB}" cache="Slicer_Department" caption="Department" rowHeight="251883"/>
  <slicer name="Education Field 2" xr10:uid="{39A6E8F2-6B3A-DB4E-924E-FDE2CD6C58CD}" cache="Slicer_Education_Field2" caption="Education Field" rowHeight="251883"/>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55ECBB04-188A-5548-9368-030BC8F6C038}" cache="Slicer_Gender2" caption="Gender" columnCount="2" rowHeight="251883"/>
  <slicer name="Department 1" xr10:uid="{4A847CF6-F13A-7443-BC6C-EE8307477491}" cache="Slicer_Department" caption="Department" rowHeight="251883"/>
  <slicer name="Education Field 3" xr10:uid="{950209E2-E17A-E04D-AF21-243C76BB033B}" cache="Slicer_Education_Field2" caption="Education Field" columnCoun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FE3855-D866-4168-8DBC-0381D676C609}" name="Table1" displayName="Table1" ref="A1:AR1471" totalsRowShown="0">
  <autoFilter ref="A1:AR1471" xr:uid="{6BFE3855-D866-4168-8DBC-0381D676C609}"/>
  <tableColumns count="44">
    <tableColumn id="1" xr3:uid="{7414F919-071A-4442-B678-9ACB1376C457}" name="Attrition"/>
    <tableColumn id="2" xr3:uid="{5953CD87-3380-43DA-9D09-BFE193A58CC4}" name="Business Travel"/>
    <tableColumn id="3" xr3:uid="{C7CFF9F2-E34C-46C6-86E4-495B44595341}" name="CF_age band"/>
    <tableColumn id="4" xr3:uid="{F230CF63-659C-4F2B-8F8A-B72637F82B04}" name="CF_attrition label"/>
    <tableColumn id="5" xr3:uid="{4882808A-95D9-4BCF-AD1F-F1E26BB9C134}" name="Department"/>
    <tableColumn id="6" xr3:uid="{B7F26A10-A6E4-4ABD-94D5-4D3D554D927E}" name="Education Field"/>
    <tableColumn id="7" xr3:uid="{1B9743F0-B6E2-45EE-9AFA-A8FE8240A194}" name="emp no"/>
    <tableColumn id="8" xr3:uid="{7FA286D9-3839-4940-A854-0C4A26577217}" name="Employee Number"/>
    <tableColumn id="9" xr3:uid="{C86033A1-6381-4E0E-A0C5-00F2413C1FC5}" name="Gender"/>
    <tableColumn id="10" xr3:uid="{91A16AB1-8523-4F71-93E6-0228057A1395}" name="Job Role"/>
    <tableColumn id="11" xr3:uid="{C2C33F9F-F2FE-4176-9A9A-5190D4944E60}" name="Marital Status"/>
    <tableColumn id="12" xr3:uid="{9CA4BD17-7927-48AE-9A01-29EB0B6D39A3}" name="Over Time"/>
    <tableColumn id="13" xr3:uid="{EB52BCBA-7743-43CD-8A14-7B6A7E35DA18}" name="Over18"/>
    <tableColumn id="14" xr3:uid="{770A3C7F-14B2-4AC7-BBEE-A170A5612063}" name="Training Times Last Year"/>
    <tableColumn id="15" xr3:uid="{7AD1059A-53F5-4C47-B595-C870A84EFC0D}" name="-2"/>
    <tableColumn id="16" xr3:uid="{43192443-7E4C-4761-8DFD-68EF1A7FB48F}" name="0"/>
    <tableColumn id="17" xr3:uid="{FE2C89A9-8C58-4392-A24D-80457AE6F3BA}" name="Age"/>
    <tableColumn id="18" xr3:uid="{DC496DA2-AEE1-4258-AA57-5A9C0FB4878E}" name="CF_attrition count"/>
    <tableColumn id="19" xr3:uid="{F4359AB8-DEC8-410E-A850-4871396E07C3}" name="CF_attrition counts"/>
    <tableColumn id="20" xr3:uid="{F35F1FF4-1B4F-4A97-9DDC-1ADF450049B0}" name="CF_attrition rate"/>
    <tableColumn id="21" xr3:uid="{FC577494-0CEB-4475-9C80-78B5B0D795C8}" name="CF_current Employee"/>
    <tableColumn id="22" xr3:uid="{6D316D59-0F08-4E57-9FB0-4D7440B091A5}" name="Daily Rate"/>
    <tableColumn id="23" xr3:uid="{FAB97E6D-7F70-4A45-B6D9-88F190579B49}" name="Distance From Home"/>
    <tableColumn id="24" xr3:uid="{DAA3DF61-53CA-4CF9-BD9A-EC2DC0AF5C69}" name="Education"/>
    <tableColumn id="25" xr3:uid="{6CDCE152-AACB-41F3-9A9B-BF070303F32B}" name="Employee Count"/>
    <tableColumn id="26" xr3:uid="{3A7EBCE9-B730-4F17-BB8B-5812CBD8886C}" name="Environment Satisfaction"/>
    <tableColumn id="27" xr3:uid="{5DA74E66-B12E-4224-94FB-D2AA29EDB55B}" name="Hourly Rate"/>
    <tableColumn id="28" xr3:uid="{4EED2C11-4AE1-4FEC-96CC-70F48FC012F1}" name="Job Involvement"/>
    <tableColumn id="29" xr3:uid="{0D334A4A-06BA-4AFC-B466-6C0866525C88}" name="Job Level"/>
    <tableColumn id="30" xr3:uid="{3025CFD0-6B2F-45A1-B916-BFC885C7ED87}" name="Job Satisfaction"/>
    <tableColumn id="31" xr3:uid="{BDDF689D-A683-4AF5-8F12-F2EFAC0810CC}" name="Monthly Income"/>
    <tableColumn id="32" xr3:uid="{095236FA-4B2B-4002-B4CA-572A0515F8BE}" name="Monthly Rate"/>
    <tableColumn id="33" xr3:uid="{50312A8D-36F4-4915-90D3-64757F1C2552}" name="Num Companies Worked"/>
    <tableColumn id="34" xr3:uid="{771F133C-51BA-4E69-A3AD-265212BF94C8}" name="Percent Salary Hike"/>
    <tableColumn id="35" xr3:uid="{92978DE2-78AE-4BB6-91FC-225109115100}" name="Performance Rating"/>
    <tableColumn id="36" xr3:uid="{E180941D-6509-4020-A871-D5D766143460}" name="Relationship Satisfaction"/>
    <tableColumn id="37" xr3:uid="{32B19403-51B2-434D-9BCC-53992A23DAFA}" name="Standard Hours"/>
    <tableColumn id="38" xr3:uid="{97DADAD2-BF3B-484E-9794-F5701028109A}" name="Stock Option Level"/>
    <tableColumn id="39" xr3:uid="{71CD98AE-8B0F-49B3-95E6-9EDCAF6804EF}" name="Total Working Years"/>
    <tableColumn id="40" xr3:uid="{E5E3C31C-BA41-4D45-B80D-13045427EB46}" name="Work Life Balance"/>
    <tableColumn id="41" xr3:uid="{27937D56-C95A-48A0-9815-32784272BC44}" name="Years At Company"/>
    <tableColumn id="42" xr3:uid="{86D151A6-562E-4466-929F-E5FB3F0114F4}" name="Years In Current Role"/>
    <tableColumn id="43" xr3:uid="{36F42600-ABDA-41CE-A97B-EDEFBB40DBE6}" name="Years Since Last Promotion"/>
    <tableColumn id="44" xr3:uid="{C6AA037A-E0EF-40CB-8B79-922476514633}" name="Years With Curr 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C53D9D-6F2D-42E8-A7E3-76D78B73EE0F}" name="Table3" displayName="Table3" ref="A11:D13" totalsRowShown="0">
  <autoFilter ref="A11:D13" xr:uid="{17C53D9D-6F2D-42E8-A7E3-76D78B73EE0F}"/>
  <tableColumns count="4">
    <tableColumn id="1" xr3:uid="{1A0C9B52-2C89-4112-B31C-7CC43F94245A}" name="Column1"/>
    <tableColumn id="2" xr3:uid="{F8DA8BB5-8088-4214-9BAB-C8AF6FD0523E}" name="Column2">
      <calculatedColumnFormula>IFERROR(GETPIVOTDATA("Employee Number",$A$3,"Gender","Male"),0)</calculatedColumnFormula>
    </tableColumn>
    <tableColumn id="3" xr3:uid="{8D1129EE-9452-4221-9E1B-C102DB6316AA}" name="Column3" dataDxfId="9" dataCellStyle="Percent">
      <calculatedColumnFormula>IFERROR(B12/($B$12+$B$13),0)</calculatedColumnFormula>
    </tableColumn>
    <tableColumn id="4" xr3:uid="{E42BA2DE-30B6-4DC3-982F-E681487D373A}" name="Column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913288-E1E9-B44E-B9D3-0EE27F1D378C}" name="Table2" displayName="Table2" ref="E3:F12" totalsRowShown="0">
  <autoFilter ref="E3:F12" xr:uid="{DB913288-E1E9-B44E-B9D3-0EE27F1D378C}"/>
  <tableColumns count="2">
    <tableColumn id="1" xr3:uid="{DE4E3D5A-2D3E-6A4A-89C5-C3FB2CD093CA}" name="Job Role">
      <calculatedColumnFormula>A4</calculatedColumnFormula>
    </tableColumn>
    <tableColumn id="2" xr3:uid="{FFF2B2AB-0183-C346-8914-E5252DE28E8E}" name="Attrit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4A9FEEA-AE28-4DB0-B6F2-3E1C76F10383}" name="Table4" displayName="Table4" ref="D3:G6" totalsRowShown="0">
  <autoFilter ref="D3:G6" xr:uid="{84A9FEEA-AE28-4DB0-B6F2-3E1C76F10383}"/>
  <tableColumns count="4">
    <tableColumn id="1" xr3:uid="{CF1B0BD7-4360-4961-8179-EAA4E50E45E6}" name="Department">
      <calculatedColumnFormula>A4</calculatedColumnFormula>
    </tableColumn>
    <tableColumn id="2" xr3:uid="{95435D88-61CB-416D-B4CE-75B3CDDAE834}" name="Attrition">
      <calculatedColumnFormula>GETPIVOTDATA("CF_attrition count",$A$3,"Department",A4)</calculatedColumnFormula>
    </tableColumn>
    <tableColumn id="3" xr3:uid="{24CE9951-FE63-4AF1-9284-9636E723FDEF}" name="Attrition Percentage" dataDxfId="8" dataCellStyle="Percent">
      <calculatedColumnFormula>E4/GETPIVOTDATA("CF_attrition count",$A$3)</calculatedColumnFormula>
    </tableColumn>
    <tableColumn id="4" xr3:uid="{6C628BA1-83A8-4F4E-979F-50F4F7C66680}" name="Column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2.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3.xml"/><Relationship Id="rId5" Type="http://schemas.microsoft.com/office/2007/relationships/slicer" Target="../slicers/slicer3.xml"/><Relationship Id="rId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4.xml"/><Relationship Id="rId4" Type="http://schemas.microsoft.com/office/2007/relationships/slicer" Target="../slicers/slicer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pivotTable" Target="../pivotTables/pivotTable5.xml"/><Relationship Id="rId5" Type="http://schemas.microsoft.com/office/2007/relationships/slicer" Target="../slicers/slicer5.xml"/><Relationship Id="rId4"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pivotTable" Target="../pivotTables/pivotTable6.xml"/><Relationship Id="rId4" Type="http://schemas.openxmlformats.org/officeDocument/2006/relationships/table" Target="../tables/table4.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9.bin"/><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0.bin"/><Relationship Id="rId1" Type="http://schemas.openxmlformats.org/officeDocument/2006/relationships/pivotTable" Target="../pivotTables/pivotTable8.xml"/><Relationship Id="rId4" Type="http://schemas.microsoft.com/office/2007/relationships/slicer" Target="../slicers/slicer6.xml"/></Relationships>
</file>

<file path=xl/worksheets/_rels/sheet11.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F1D94-8859-4AD6-8378-A6FAD1A79316}">
  <dimension ref="A1"/>
  <sheetViews>
    <sheetView topLeftCell="J1" zoomScale="75" workbookViewId="0">
      <selection activeCell="B2" sqref="B2"/>
    </sheetView>
  </sheetViews>
  <sheetFormatPr defaultRowHeight="15.6" x14ac:dyDescent="0.3"/>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B8E4C-6A50-4A2B-A1D9-424291481C3E}">
  <sheetPr codeName="Sheet1"/>
  <dimension ref="A1:AR1471"/>
  <sheetViews>
    <sheetView workbookViewId="0">
      <pane ySplit="1" topLeftCell="A2" activePane="bottomLeft" state="frozen"/>
      <selection pane="bottomLeft" activeCell="A2" sqref="A2:AR1471"/>
    </sheetView>
  </sheetViews>
  <sheetFormatPr defaultColWidth="8.796875" defaultRowHeight="15.6" x14ac:dyDescent="0.3"/>
  <cols>
    <col min="1" max="1" width="10.5" bestFit="1" customWidth="1"/>
    <col min="2" max="2" width="16.5" bestFit="1" customWidth="1"/>
    <col min="3" max="3" width="14.19921875" bestFit="1" customWidth="1"/>
    <col min="4" max="4" width="17.796875" bestFit="1" customWidth="1"/>
    <col min="5" max="5" width="13.69921875" bestFit="1" customWidth="1"/>
    <col min="6" max="6" width="16.19921875" bestFit="1" customWidth="1"/>
    <col min="7" max="7" width="11" bestFit="1" customWidth="1"/>
    <col min="8" max="8" width="19.19921875" bestFit="1" customWidth="1"/>
    <col min="9" max="9" width="9.69921875" bestFit="1" customWidth="1"/>
    <col min="10" max="10" width="23.19921875" bestFit="1" customWidth="1"/>
    <col min="11" max="11" width="15.296875" bestFit="1" customWidth="1"/>
    <col min="12" max="12" width="12.296875" bestFit="1" customWidth="1"/>
    <col min="13" max="13" width="9.69921875" bestFit="1" customWidth="1"/>
    <col min="14" max="14" width="24.19921875" bestFit="1" customWidth="1"/>
    <col min="15" max="15" width="5.296875" bestFit="1" customWidth="1"/>
    <col min="16" max="16" width="4.69921875" bestFit="1" customWidth="1"/>
    <col min="17" max="17" width="6.796875" bestFit="1" customWidth="1"/>
    <col min="18" max="18" width="18.296875" bestFit="1" customWidth="1"/>
    <col min="19" max="19" width="19.296875" bestFit="1" customWidth="1"/>
    <col min="20" max="20" width="17.19921875" bestFit="1" customWidth="1"/>
    <col min="21" max="21" width="21.296875" bestFit="1" customWidth="1"/>
    <col min="22" max="22" width="12.296875" bestFit="1" customWidth="1"/>
    <col min="23" max="23" width="21.296875" bestFit="1" customWidth="1"/>
    <col min="24" max="24" width="16.296875" bestFit="1" customWidth="1"/>
    <col min="25" max="25" width="17" bestFit="1" customWidth="1"/>
    <col min="26" max="26" width="24.69921875" bestFit="1" customWidth="1"/>
    <col min="27" max="27" width="13.5" bestFit="1" customWidth="1"/>
    <col min="28" max="28" width="17.19921875" bestFit="1" customWidth="1"/>
    <col min="29" max="29" width="11.19921875" bestFit="1" customWidth="1"/>
    <col min="30" max="30" width="16.5" bestFit="1" customWidth="1"/>
    <col min="31" max="31" width="17" bestFit="1" customWidth="1"/>
    <col min="32" max="32" width="14.796875" bestFit="1" customWidth="1"/>
    <col min="33" max="33" width="24.5" bestFit="1" customWidth="1"/>
    <col min="34" max="34" width="20" bestFit="1" customWidth="1"/>
    <col min="35" max="35" width="20.19921875" bestFit="1" customWidth="1"/>
    <col min="36" max="36" width="24.296875" bestFit="1" customWidth="1"/>
    <col min="37" max="37" width="16.296875" bestFit="1" customWidth="1"/>
    <col min="38" max="38" width="19.19921875" bestFit="1" customWidth="1"/>
    <col min="39" max="39" width="20.5" bestFit="1" customWidth="1"/>
    <col min="40" max="41" width="18.796875" bestFit="1" customWidth="1"/>
    <col min="42" max="42" width="21" bestFit="1" customWidth="1"/>
    <col min="43" max="43" width="26.19921875" bestFit="1" customWidth="1"/>
    <col min="44" max="44" width="24.69921875" bestFit="1"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83BEF-E240-C74D-AEB1-53390C8822FC}">
  <sheetPr codeName="Sheet2"/>
  <dimension ref="A3:E7"/>
  <sheetViews>
    <sheetView workbookViewId="0">
      <selection activeCell="A3" sqref="A3"/>
    </sheetView>
  </sheetViews>
  <sheetFormatPr defaultColWidth="11.19921875" defaultRowHeight="15.6" x14ac:dyDescent="0.3"/>
  <cols>
    <col min="1" max="1" width="24.5" bestFit="1" customWidth="1"/>
    <col min="2" max="2" width="22.796875" bestFit="1" customWidth="1"/>
    <col min="3" max="3" width="13.5" bestFit="1" customWidth="1"/>
    <col min="4" max="4" width="15.5" bestFit="1" customWidth="1"/>
    <col min="5" max="5" width="12.296875" bestFit="1" customWidth="1"/>
  </cols>
  <sheetData>
    <row r="3" spans="1:5" x14ac:dyDescent="0.3">
      <c r="A3" t="s">
        <v>1554</v>
      </c>
      <c r="B3" t="s">
        <v>1555</v>
      </c>
      <c r="C3" t="s">
        <v>1556</v>
      </c>
    </row>
    <row r="4" spans="1:5" x14ac:dyDescent="0.3">
      <c r="A4" s="8">
        <v>1470</v>
      </c>
      <c r="B4" s="8">
        <v>237</v>
      </c>
      <c r="C4" s="8">
        <v>36.923809523809524</v>
      </c>
    </row>
    <row r="6" spans="1:5" x14ac:dyDescent="0.3">
      <c r="A6" s="1" t="s">
        <v>1557</v>
      </c>
      <c r="B6" s="1" t="s">
        <v>1558</v>
      </c>
      <c r="C6" s="1" t="s">
        <v>1559</v>
      </c>
      <c r="D6" s="1" t="s">
        <v>1560</v>
      </c>
      <c r="E6" s="1" t="s">
        <v>1561</v>
      </c>
    </row>
    <row r="7" spans="1:5" x14ac:dyDescent="0.3">
      <c r="A7">
        <f>GETPIVOTDATA("Count of Employee Number",$A$3)</f>
        <v>1470</v>
      </c>
      <c r="B7">
        <f>GETPIVOTDATA("Sum of CF_attrition count",$A$3)</f>
        <v>237</v>
      </c>
      <c r="C7" s="4">
        <f>GETPIVOTDATA("Average of Age",$A$3)</f>
        <v>36.923809523809524</v>
      </c>
      <c r="D7">
        <f>GETPIVOTDATA("Count of Employee Number",$A$3)-GETPIVOTDATA("Sum of CF_attrition count",$A$3)</f>
        <v>1233</v>
      </c>
      <c r="E7" s="3">
        <f>GETPIVOTDATA("Sum of CF_attrition count",$A$3)/GETPIVOTDATA("Count of Employee Number",$A$3)</f>
        <v>0.16122448979591836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3EDF3-A465-8B44-B56A-026E0C479855}">
  <sheetPr codeName="Sheet3"/>
  <dimension ref="A3:C7"/>
  <sheetViews>
    <sheetView workbookViewId="0">
      <selection activeCell="A3" sqref="A3"/>
    </sheetView>
  </sheetViews>
  <sheetFormatPr defaultColWidth="11.19921875" defaultRowHeight="15.6" x14ac:dyDescent="0.3"/>
  <cols>
    <col min="1" max="1" width="23.69921875" bestFit="1" customWidth="1"/>
  </cols>
  <sheetData>
    <row r="3" spans="1:3" x14ac:dyDescent="0.3">
      <c r="A3" t="s">
        <v>1562</v>
      </c>
    </row>
    <row r="4" spans="1:3" x14ac:dyDescent="0.3">
      <c r="A4" s="4">
        <v>2.6265306122448981</v>
      </c>
    </row>
    <row r="6" spans="1:3" x14ac:dyDescent="0.3">
      <c r="A6" t="s">
        <v>1563</v>
      </c>
      <c r="B6" s="4">
        <f>GETPIVOTDATA("Job Satisfaction",$A$3)</f>
        <v>2.6265306122448981</v>
      </c>
      <c r="C6" s="3">
        <f>B6/4</f>
        <v>0.65663265306122454</v>
      </c>
    </row>
    <row r="7" spans="1:3" x14ac:dyDescent="0.3">
      <c r="A7" s="4" t="s">
        <v>1564</v>
      </c>
      <c r="B7" s="4">
        <f>4-B6</f>
        <v>1.3734693877551019</v>
      </c>
      <c r="C7" s="3">
        <f>B7/4</f>
        <v>0.34336734693877546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EAC24-4CB3-1445-B5D4-2BE54CDA3CB6}">
  <sheetPr codeName="Sheet4"/>
  <dimension ref="A3:P52"/>
  <sheetViews>
    <sheetView zoomScaleNormal="100" workbookViewId="0">
      <selection activeCell="A3" sqref="A3"/>
    </sheetView>
  </sheetViews>
  <sheetFormatPr defaultColWidth="11.19921875" defaultRowHeight="15.6" x14ac:dyDescent="0.3"/>
  <cols>
    <col min="1" max="1" width="12.296875" bestFit="1" customWidth="1"/>
    <col min="2" max="2" width="24.5" bestFit="1" customWidth="1"/>
    <col min="3" max="3" width="12.19921875" bestFit="1" customWidth="1"/>
    <col min="4" max="4" width="10.09765625" customWidth="1"/>
    <col min="5" max="7" width="2.19921875" bestFit="1" customWidth="1"/>
    <col min="8" max="77" width="3.19921875" bestFit="1" customWidth="1"/>
    <col min="78" max="718" width="4.19921875" bestFit="1" customWidth="1"/>
    <col min="719" max="1471" width="5.19921875" bestFit="1" customWidth="1"/>
  </cols>
  <sheetData>
    <row r="3" spans="1:4" x14ac:dyDescent="0.3">
      <c r="A3" s="6" t="s">
        <v>1565</v>
      </c>
      <c r="B3" t="s">
        <v>1554</v>
      </c>
    </row>
    <row r="4" spans="1:4" x14ac:dyDescent="0.3">
      <c r="A4" s="7" t="s">
        <v>51</v>
      </c>
      <c r="B4" s="8">
        <v>588</v>
      </c>
    </row>
    <row r="5" spans="1:4" x14ac:dyDescent="0.3">
      <c r="A5" s="7" t="s">
        <v>62</v>
      </c>
      <c r="B5" s="8">
        <v>882</v>
      </c>
    </row>
    <row r="6" spans="1:4" x14ac:dyDescent="0.3">
      <c r="A6" s="7" t="s">
        <v>1566</v>
      </c>
      <c r="B6" s="8">
        <v>1470</v>
      </c>
    </row>
    <row r="11" spans="1:4" x14ac:dyDescent="0.3">
      <c r="A11" t="s">
        <v>1569</v>
      </c>
      <c r="B11" t="s">
        <v>1570</v>
      </c>
      <c r="C11" s="2" t="s">
        <v>1571</v>
      </c>
      <c r="D11" t="s">
        <v>1572</v>
      </c>
    </row>
    <row r="12" spans="1:4" x14ac:dyDescent="0.3">
      <c r="A12" t="s">
        <v>51</v>
      </c>
      <c r="B12">
        <f>IFERROR(GETPIVOTDATA("Employee Number",$A$3,"Gender","Female"),0)</f>
        <v>588</v>
      </c>
      <c r="C12" s="2">
        <f>IFERROR(B12/($B$12+$B$13),0)</f>
        <v>0.4</v>
      </c>
    </row>
    <row r="13" spans="1:4" x14ac:dyDescent="0.3">
      <c r="A13" t="s">
        <v>62</v>
      </c>
      <c r="B13">
        <f>IFERROR(GETPIVOTDATA("Employee Number",$A$3,"Gender","Male"),0)</f>
        <v>882</v>
      </c>
      <c r="C13" s="2">
        <f>IFERROR(B13/($B$12+$B$13),0)</f>
        <v>0.6</v>
      </c>
    </row>
    <row r="16" spans="1:4" x14ac:dyDescent="0.3">
      <c r="C16" s="3"/>
    </row>
    <row r="17" spans="3:3" x14ac:dyDescent="0.3">
      <c r="C17" s="3"/>
    </row>
    <row r="52" spans="16:16" x14ac:dyDescent="0.3">
      <c r="P52" s="9"/>
    </row>
  </sheetData>
  <pageMargins left="0.7" right="0.7" top="0.75" bottom="0.75" header="0.3" footer="0.3"/>
  <pageSetup orientation="portrait" r:id="rId2"/>
  <drawing r:id="rId3"/>
  <tableParts count="1">
    <tablePart r:id="rId4"/>
  </tableParts>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D5AE9-F2EE-D64D-AC19-762577B5795D}">
  <sheetPr codeName="Sheet5"/>
  <dimension ref="A3:B9"/>
  <sheetViews>
    <sheetView topLeftCell="A15" workbookViewId="0">
      <selection activeCell="K2" sqref="K2"/>
    </sheetView>
  </sheetViews>
  <sheetFormatPr defaultColWidth="11.19921875" defaultRowHeight="15.6" x14ac:dyDescent="0.3"/>
  <cols>
    <col min="1" max="1" width="16" bestFit="1" customWidth="1"/>
    <col min="2" max="2" width="22.796875" bestFit="1" customWidth="1"/>
    <col min="3" max="3" width="22.5" bestFit="1" customWidth="1"/>
  </cols>
  <sheetData>
    <row r="3" spans="1:2" x14ac:dyDescent="0.3">
      <c r="A3" s="6" t="s">
        <v>1565</v>
      </c>
      <c r="B3" t="s">
        <v>1555</v>
      </c>
    </row>
    <row r="4" spans="1:2" x14ac:dyDescent="0.3">
      <c r="A4" s="7" t="s">
        <v>134</v>
      </c>
      <c r="B4" s="8">
        <v>5</v>
      </c>
    </row>
    <row r="5" spans="1:2" x14ac:dyDescent="0.3">
      <c r="A5" s="7" t="s">
        <v>65</v>
      </c>
      <c r="B5" s="8">
        <v>31</v>
      </c>
    </row>
    <row r="6" spans="1:2" x14ac:dyDescent="0.3">
      <c r="A6" s="7" t="s">
        <v>55</v>
      </c>
      <c r="B6" s="8">
        <v>44</v>
      </c>
    </row>
    <row r="7" spans="1:2" x14ac:dyDescent="0.3">
      <c r="A7" s="7" t="s">
        <v>71</v>
      </c>
      <c r="B7" s="8">
        <v>58</v>
      </c>
    </row>
    <row r="8" spans="1:2" x14ac:dyDescent="0.3">
      <c r="A8" s="7" t="s">
        <v>77</v>
      </c>
      <c r="B8" s="8">
        <v>99</v>
      </c>
    </row>
    <row r="9" spans="1:2" x14ac:dyDescent="0.3">
      <c r="A9" s="7" t="s">
        <v>1566</v>
      </c>
      <c r="B9" s="8">
        <v>237</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5AF00-B912-6F4C-8392-B6F8FBFD21FB}">
  <sheetPr codeName="Sheet6"/>
  <dimension ref="A3:F13"/>
  <sheetViews>
    <sheetView topLeftCell="A8" zoomScale="82" workbookViewId="0">
      <selection activeCell="E3" sqref="E3:F12"/>
    </sheetView>
  </sheetViews>
  <sheetFormatPr defaultColWidth="11.19921875" defaultRowHeight="15.6" x14ac:dyDescent="0.3"/>
  <cols>
    <col min="1" max="1" width="23.296875" bestFit="1" customWidth="1"/>
    <col min="2" max="2" width="24.296875" bestFit="1" customWidth="1"/>
    <col min="5" max="5" width="23.19921875" bestFit="1" customWidth="1"/>
  </cols>
  <sheetData>
    <row r="3" spans="1:6" x14ac:dyDescent="0.3">
      <c r="A3" s="6" t="s">
        <v>1565</v>
      </c>
      <c r="B3" t="s">
        <v>1567</v>
      </c>
      <c r="E3" t="s">
        <v>9</v>
      </c>
      <c r="F3" t="s">
        <v>0</v>
      </c>
    </row>
    <row r="4" spans="1:6" x14ac:dyDescent="0.3">
      <c r="A4" s="7" t="s">
        <v>83</v>
      </c>
      <c r="B4" s="8">
        <v>131</v>
      </c>
      <c r="E4" t="str">
        <f>A4</f>
        <v>Healthcare Representative</v>
      </c>
      <c r="F4">
        <f>GETPIVOTDATA("CF_attrition count",$A$3,"Job Role","Healthcare Representative")</f>
        <v>131</v>
      </c>
    </row>
    <row r="5" spans="1:6" x14ac:dyDescent="0.3">
      <c r="A5" s="7" t="s">
        <v>163</v>
      </c>
      <c r="B5" s="8">
        <v>52</v>
      </c>
      <c r="E5" t="str">
        <f t="shared" ref="E5:E12" si="0">A5</f>
        <v>Human Resources</v>
      </c>
      <c r="F5">
        <f>GETPIVOTDATA("CF_attrition count",$A$3,"Job Role","Human Resources")</f>
        <v>52</v>
      </c>
    </row>
    <row r="6" spans="1:6" x14ac:dyDescent="0.3">
      <c r="A6" s="7" t="s">
        <v>68</v>
      </c>
      <c r="B6" s="8">
        <v>259</v>
      </c>
      <c r="E6" t="str">
        <f t="shared" si="0"/>
        <v>Laboratory Technician</v>
      </c>
      <c r="F6">
        <f>GETPIVOTDATA("CF_attrition count",$A$3,"Job Role","Laboratory Technician")</f>
        <v>259</v>
      </c>
    </row>
    <row r="7" spans="1:6" x14ac:dyDescent="0.3">
      <c r="A7" s="7" t="s">
        <v>95</v>
      </c>
      <c r="B7" s="8">
        <v>102</v>
      </c>
      <c r="E7" t="str">
        <f t="shared" si="0"/>
        <v>Manager</v>
      </c>
      <c r="F7">
        <f>GETPIVOTDATA("CF_attrition count",$A$3,"Job Role","Manager")</f>
        <v>102</v>
      </c>
    </row>
    <row r="8" spans="1:6" x14ac:dyDescent="0.3">
      <c r="A8" s="7" t="s">
        <v>81</v>
      </c>
      <c r="B8" s="8">
        <v>145</v>
      </c>
      <c r="E8" t="str">
        <f t="shared" si="0"/>
        <v>Manufacturing Director</v>
      </c>
      <c r="F8">
        <f>GETPIVOTDATA("CF_attrition count",$A$3,"Job Role","Manufacturing Director")</f>
        <v>145</v>
      </c>
    </row>
    <row r="9" spans="1:6" x14ac:dyDescent="0.3">
      <c r="A9" s="7" t="s">
        <v>101</v>
      </c>
      <c r="B9" s="8">
        <v>80</v>
      </c>
      <c r="E9" t="str">
        <f t="shared" si="0"/>
        <v>Research Director</v>
      </c>
      <c r="F9">
        <f>GETPIVOTDATA("CF_attrition count",$A$3,"Job Role","Research Director")</f>
        <v>80</v>
      </c>
    </row>
    <row r="10" spans="1:6" x14ac:dyDescent="0.3">
      <c r="A10" s="7" t="s">
        <v>63</v>
      </c>
      <c r="B10" s="8">
        <v>292</v>
      </c>
      <c r="E10" t="str">
        <f t="shared" si="0"/>
        <v>Research Scientist</v>
      </c>
      <c r="F10">
        <f>GETPIVOTDATA("CF_attrition count",$A$3,"Job Role","Research Scientist")</f>
        <v>292</v>
      </c>
    </row>
    <row r="11" spans="1:6" x14ac:dyDescent="0.3">
      <c r="A11" s="7" t="s">
        <v>52</v>
      </c>
      <c r="B11" s="8">
        <v>326</v>
      </c>
      <c r="E11" t="str">
        <f t="shared" si="0"/>
        <v>Sales Executive</v>
      </c>
      <c r="F11">
        <f>GETPIVOTDATA("CF_attrition count",$A$3,"Job Role","Sales Executive")</f>
        <v>326</v>
      </c>
    </row>
    <row r="12" spans="1:6" x14ac:dyDescent="0.3">
      <c r="A12" s="7" t="s">
        <v>99</v>
      </c>
      <c r="B12" s="8">
        <v>83</v>
      </c>
      <c r="E12" t="str">
        <f t="shared" si="0"/>
        <v>Sales Representative</v>
      </c>
      <c r="F12">
        <f>GETPIVOTDATA("CF_attrition count",$A$3,"Job Role","Sales Representative")</f>
        <v>83</v>
      </c>
    </row>
    <row r="13" spans="1:6" x14ac:dyDescent="0.3">
      <c r="A13" s="7" t="s">
        <v>1566</v>
      </c>
      <c r="B13" s="8">
        <v>1470</v>
      </c>
    </row>
  </sheetData>
  <pageMargins left="0.7" right="0.7" top="0.75" bottom="0.75" header="0.3" footer="0.3"/>
  <pageSetup orientation="portrait" r:id="rId2"/>
  <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A3CEE-CFED-E34D-BC8F-89FC3EB64D32}">
  <sheetPr codeName="Sheet7"/>
  <dimension ref="A3:G7"/>
  <sheetViews>
    <sheetView topLeftCell="A4" workbookViewId="0">
      <selection activeCell="D4" sqref="D4:G6"/>
    </sheetView>
  </sheetViews>
  <sheetFormatPr defaultColWidth="11.19921875" defaultRowHeight="15.6" x14ac:dyDescent="0.3"/>
  <cols>
    <col min="1" max="1" width="12.296875" bestFit="1" customWidth="1"/>
    <col min="2" max="2" width="22.796875" bestFit="1" customWidth="1"/>
    <col min="4" max="4" width="12.796875" customWidth="1"/>
    <col min="6" max="6" width="19.59765625" customWidth="1"/>
  </cols>
  <sheetData>
    <row r="3" spans="1:7" x14ac:dyDescent="0.3">
      <c r="A3" s="6" t="s">
        <v>1565</v>
      </c>
      <c r="B3" t="s">
        <v>1555</v>
      </c>
      <c r="D3" t="s">
        <v>4</v>
      </c>
      <c r="E3" t="s">
        <v>0</v>
      </c>
      <c r="F3" t="s">
        <v>1568</v>
      </c>
      <c r="G3" t="s">
        <v>1569</v>
      </c>
    </row>
    <row r="4" spans="1:7" x14ac:dyDescent="0.3">
      <c r="A4" s="7" t="s">
        <v>161</v>
      </c>
      <c r="B4" s="8">
        <v>12</v>
      </c>
      <c r="D4" t="str">
        <f>A4</f>
        <v>HR</v>
      </c>
      <c r="E4">
        <f>GETPIVOTDATA("CF_attrition count",$A$3,"Department",A4)</f>
        <v>12</v>
      </c>
      <c r="F4" s="3">
        <f>E4/GETPIVOTDATA("CF_attrition count",$A$3)</f>
        <v>5.0632911392405063E-2</v>
      </c>
    </row>
    <row r="5" spans="1:7" x14ac:dyDescent="0.3">
      <c r="A5" s="7" t="s">
        <v>60</v>
      </c>
      <c r="B5" s="8">
        <v>133</v>
      </c>
      <c r="D5" t="str">
        <f t="shared" ref="D5:D6" si="0">A5</f>
        <v>R&amp;D</v>
      </c>
      <c r="E5">
        <f t="shared" ref="E5:E6" si="1">GETPIVOTDATA("CF_attrition count",$A$3,"Department",A5)</f>
        <v>133</v>
      </c>
      <c r="F5" s="3">
        <f>E5/GETPIVOTDATA("CF_attrition count",$A$3)</f>
        <v>0.56118143459915615</v>
      </c>
    </row>
    <row r="6" spans="1:7" x14ac:dyDescent="0.3">
      <c r="A6" s="7" t="s">
        <v>48</v>
      </c>
      <c r="B6" s="8">
        <v>92</v>
      </c>
      <c r="D6" t="str">
        <f t="shared" si="0"/>
        <v>Sales</v>
      </c>
      <c r="E6">
        <f t="shared" si="1"/>
        <v>92</v>
      </c>
      <c r="F6" s="3">
        <f>E6/GETPIVOTDATA("CF_attrition count",$A$3)</f>
        <v>0.3881856540084388</v>
      </c>
    </row>
    <row r="7" spans="1:7" x14ac:dyDescent="0.3">
      <c r="A7" s="7" t="s">
        <v>1566</v>
      </c>
      <c r="B7" s="8">
        <v>237</v>
      </c>
    </row>
  </sheetData>
  <pageMargins left="0.7" right="0.7" top="0.75" bottom="0.75" header="0.3" footer="0.3"/>
  <pageSetup orientation="portrait" r:id="rId2"/>
  <drawing r:id="rId3"/>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9A398-D1DE-0448-907B-7C29D22BCD20}">
  <sheetPr codeName="Sheet8"/>
  <dimension ref="A3:B9"/>
  <sheetViews>
    <sheetView topLeftCell="A5" workbookViewId="0">
      <selection activeCell="A8" sqref="A8"/>
    </sheetView>
  </sheetViews>
  <sheetFormatPr defaultColWidth="11.19921875" defaultRowHeight="15.6" x14ac:dyDescent="0.3"/>
  <cols>
    <col min="1" max="1" width="12.296875" bestFit="1" customWidth="1"/>
    <col min="2" max="2" width="24.296875" bestFit="1" customWidth="1"/>
    <col min="3" max="3" width="19.19921875" bestFit="1" customWidth="1"/>
  </cols>
  <sheetData>
    <row r="3" spans="1:2" x14ac:dyDescent="0.3">
      <c r="A3" s="6" t="s">
        <v>1565</v>
      </c>
      <c r="B3" t="s">
        <v>1567</v>
      </c>
    </row>
    <row r="4" spans="1:2" x14ac:dyDescent="0.3">
      <c r="A4" s="7" t="s">
        <v>69</v>
      </c>
      <c r="B4" s="8">
        <v>554</v>
      </c>
    </row>
    <row r="5" spans="1:2" x14ac:dyDescent="0.3">
      <c r="A5" s="7" t="s">
        <v>46</v>
      </c>
      <c r="B5" s="8">
        <v>505</v>
      </c>
    </row>
    <row r="6" spans="1:2" x14ac:dyDescent="0.3">
      <c r="A6" s="7" t="s">
        <v>58</v>
      </c>
      <c r="B6" s="8">
        <v>245</v>
      </c>
    </row>
    <row r="7" spans="1:2" x14ac:dyDescent="0.3">
      <c r="A7" s="7" t="s">
        <v>92</v>
      </c>
      <c r="B7" s="8">
        <v>97</v>
      </c>
    </row>
    <row r="8" spans="1:2" x14ac:dyDescent="0.3">
      <c r="A8" s="7" t="s">
        <v>75</v>
      </c>
      <c r="B8" s="8">
        <v>69</v>
      </c>
    </row>
    <row r="9" spans="1:2" x14ac:dyDescent="0.3">
      <c r="A9" s="7" t="s">
        <v>1566</v>
      </c>
      <c r="B9" s="8">
        <v>1470</v>
      </c>
    </row>
  </sheetData>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988A5-E120-C848-B62B-E1A27D8E8D4F}">
  <sheetPr codeName="Sheet9"/>
  <dimension ref="A3:E7"/>
  <sheetViews>
    <sheetView topLeftCell="B27" zoomScale="120" workbookViewId="0">
      <selection activeCell="L11" sqref="L11"/>
    </sheetView>
  </sheetViews>
  <sheetFormatPr defaultColWidth="11.19921875" defaultRowHeight="15.6" x14ac:dyDescent="0.3"/>
  <cols>
    <col min="1" max="1" width="12.296875" bestFit="1" customWidth="1"/>
    <col min="2" max="2" width="24.296875" bestFit="1" customWidth="1"/>
    <col min="4" max="4" width="12.796875" bestFit="1" customWidth="1"/>
  </cols>
  <sheetData>
    <row r="3" spans="1:5" x14ac:dyDescent="0.3">
      <c r="A3" s="6" t="s">
        <v>1565</v>
      </c>
      <c r="B3" t="s">
        <v>1567</v>
      </c>
      <c r="D3" t="s">
        <v>10</v>
      </c>
      <c r="E3" t="s">
        <v>0</v>
      </c>
    </row>
    <row r="4" spans="1:5" x14ac:dyDescent="0.3">
      <c r="A4" s="7" t="s">
        <v>79</v>
      </c>
      <c r="B4" s="8">
        <v>327</v>
      </c>
      <c r="D4" t="str">
        <f>A4</f>
        <v>Divorced</v>
      </c>
      <c r="E4">
        <f>GETPIVOTDATA("CF_attrition count",$A$3,"Marital Status",A4)</f>
        <v>327</v>
      </c>
    </row>
    <row r="5" spans="1:5" x14ac:dyDescent="0.3">
      <c r="A5" s="7" t="s">
        <v>53</v>
      </c>
      <c r="B5" s="8">
        <v>470</v>
      </c>
      <c r="D5" t="str">
        <f t="shared" ref="D5:D6" si="0">A5</f>
        <v>Single</v>
      </c>
      <c r="E5">
        <f t="shared" ref="E5:E6" si="1">GETPIVOTDATA("CF_attrition count",$A$3,"Marital Status",A5)</f>
        <v>470</v>
      </c>
    </row>
    <row r="6" spans="1:5" x14ac:dyDescent="0.3">
      <c r="A6" s="7" t="s">
        <v>64</v>
      </c>
      <c r="B6" s="8">
        <v>673</v>
      </c>
      <c r="D6" t="str">
        <f t="shared" si="0"/>
        <v>Married</v>
      </c>
      <c r="E6">
        <f t="shared" si="1"/>
        <v>673</v>
      </c>
    </row>
    <row r="7" spans="1:5" x14ac:dyDescent="0.3">
      <c r="A7" s="7" t="s">
        <v>1566</v>
      </c>
      <c r="B7" s="8">
        <v>1470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3A89D-3C3F-764A-958B-E355F58B34C9}">
  <sheetPr codeName="Sheet10"/>
  <dimension ref="A1:AA50"/>
  <sheetViews>
    <sheetView showGridLines="0" tabSelected="1" zoomScale="55" zoomScaleNormal="40" workbookViewId="0">
      <selection activeCell="R45" sqref="R45"/>
    </sheetView>
  </sheetViews>
  <sheetFormatPr defaultColWidth="11.19921875" defaultRowHeight="15.6" x14ac:dyDescent="0.3"/>
  <sheetData>
    <row r="1" spans="1:27" x14ac:dyDescent="0.3">
      <c r="A1" s="5"/>
      <c r="B1" s="5"/>
      <c r="C1" s="5"/>
      <c r="D1" s="5"/>
      <c r="E1" s="5"/>
      <c r="F1" s="5"/>
      <c r="G1" s="5"/>
      <c r="H1" s="5"/>
      <c r="I1" s="5"/>
      <c r="J1" s="5"/>
      <c r="K1" s="5"/>
      <c r="L1" s="5"/>
      <c r="M1" s="5"/>
      <c r="N1" s="5"/>
      <c r="O1" s="5"/>
      <c r="P1" s="5"/>
      <c r="Q1" s="5"/>
      <c r="R1" s="5"/>
      <c r="S1" s="5"/>
      <c r="T1" s="5"/>
      <c r="U1" s="5"/>
      <c r="V1" s="5"/>
      <c r="W1" s="5"/>
      <c r="X1" s="5"/>
    </row>
    <row r="2" spans="1:27" x14ac:dyDescent="0.3">
      <c r="A2" s="5"/>
      <c r="B2" s="5"/>
      <c r="C2" s="5"/>
      <c r="D2" s="5"/>
      <c r="E2" s="5"/>
      <c r="F2" s="5"/>
      <c r="G2" s="5"/>
      <c r="H2" s="5"/>
      <c r="I2" s="5"/>
      <c r="J2" s="5"/>
      <c r="K2" s="5"/>
      <c r="L2" s="5"/>
      <c r="M2" s="5"/>
      <c r="N2" s="5"/>
      <c r="O2" s="5"/>
      <c r="P2" s="5"/>
      <c r="Q2" s="5"/>
      <c r="R2" s="5"/>
      <c r="S2" s="5"/>
      <c r="T2" s="5"/>
      <c r="U2" s="5"/>
      <c r="V2" s="5"/>
      <c r="W2" s="5"/>
      <c r="X2" s="5"/>
    </row>
    <row r="3" spans="1:27" x14ac:dyDescent="0.3">
      <c r="A3" s="5"/>
      <c r="B3" s="5"/>
      <c r="C3" s="5"/>
      <c r="D3" s="5"/>
      <c r="E3" s="5"/>
      <c r="F3" s="5"/>
      <c r="G3" s="5"/>
      <c r="H3" s="5"/>
      <c r="I3" s="5"/>
      <c r="J3" s="5"/>
      <c r="K3" s="5"/>
      <c r="L3" s="5"/>
      <c r="M3" s="5"/>
      <c r="N3" s="5"/>
      <c r="O3" s="5"/>
      <c r="P3" s="5"/>
      <c r="Q3" s="5"/>
      <c r="R3" s="5"/>
      <c r="S3" s="5"/>
      <c r="T3" s="5"/>
      <c r="U3" s="5"/>
      <c r="V3" s="5"/>
      <c r="W3" s="5"/>
      <c r="X3" s="5"/>
    </row>
    <row r="4" spans="1:27" x14ac:dyDescent="0.3">
      <c r="A4" s="5"/>
      <c r="B4" s="5"/>
      <c r="C4" s="5"/>
      <c r="D4" s="5"/>
      <c r="E4" s="5"/>
      <c r="F4" s="5"/>
      <c r="G4" s="5"/>
      <c r="H4" s="5"/>
      <c r="I4" s="5"/>
      <c r="J4" s="5"/>
      <c r="K4" s="5"/>
      <c r="L4" s="5"/>
      <c r="M4" s="5"/>
      <c r="N4" s="5"/>
      <c r="O4" s="5"/>
      <c r="P4" s="5"/>
      <c r="Q4" s="5"/>
      <c r="R4" s="5"/>
      <c r="S4" s="5"/>
      <c r="T4" s="5"/>
      <c r="U4" s="5"/>
      <c r="V4" s="5"/>
      <c r="W4" s="5"/>
      <c r="X4" s="5"/>
    </row>
    <row r="5" spans="1:27" x14ac:dyDescent="0.3">
      <c r="A5" s="5"/>
      <c r="B5" s="5"/>
      <c r="C5" s="5"/>
      <c r="D5" s="5"/>
      <c r="E5" s="5"/>
      <c r="F5" s="5"/>
      <c r="G5" s="5"/>
      <c r="H5" s="5"/>
      <c r="I5" s="5"/>
      <c r="J5" s="5"/>
      <c r="K5" s="5"/>
      <c r="L5" s="5"/>
      <c r="M5" s="5"/>
      <c r="N5" s="5"/>
      <c r="O5" s="5"/>
      <c r="P5" s="5"/>
      <c r="Q5" s="5"/>
      <c r="R5" s="5"/>
      <c r="S5" s="5"/>
      <c r="T5" s="5"/>
      <c r="U5" s="5"/>
      <c r="V5" s="5"/>
      <c r="W5" s="5"/>
      <c r="X5" s="5"/>
    </row>
    <row r="6" spans="1:27" x14ac:dyDescent="0.3">
      <c r="A6" s="5"/>
      <c r="B6" s="5"/>
      <c r="C6" s="5"/>
      <c r="D6" s="5"/>
      <c r="E6" s="5"/>
      <c r="F6" s="5"/>
      <c r="G6" s="5"/>
      <c r="H6" s="5"/>
      <c r="I6" s="5"/>
      <c r="J6" s="5"/>
      <c r="K6" s="5"/>
      <c r="L6" s="5"/>
      <c r="M6" s="5"/>
      <c r="N6" s="5"/>
      <c r="O6" s="5"/>
      <c r="P6" s="5"/>
      <c r="Q6" s="5"/>
      <c r="R6" s="5"/>
      <c r="S6" s="5"/>
      <c r="T6" s="5"/>
      <c r="U6" s="5"/>
      <c r="V6" s="5"/>
      <c r="W6" s="5"/>
      <c r="X6" s="5"/>
    </row>
    <row r="7" spans="1:27" x14ac:dyDescent="0.3">
      <c r="A7" s="5"/>
      <c r="B7" s="5"/>
      <c r="C7" s="5"/>
      <c r="D7" s="5"/>
      <c r="E7" s="5"/>
      <c r="F7" s="5"/>
      <c r="G7" s="5"/>
      <c r="H7" s="5"/>
      <c r="I7" s="5"/>
      <c r="J7" s="5"/>
      <c r="K7" s="5"/>
      <c r="L7" s="5"/>
      <c r="M7" s="5"/>
      <c r="N7" s="5"/>
      <c r="O7" s="5"/>
      <c r="P7" s="5"/>
      <c r="Q7" s="5"/>
      <c r="R7" s="5"/>
      <c r="S7" s="5"/>
      <c r="T7" s="5"/>
      <c r="U7" s="5"/>
      <c r="V7" s="5"/>
      <c r="W7" s="5"/>
      <c r="X7" s="5"/>
    </row>
    <row r="8" spans="1:27" x14ac:dyDescent="0.3">
      <c r="A8" s="5"/>
      <c r="B8" s="5"/>
      <c r="C8" s="5"/>
      <c r="D8" s="5"/>
      <c r="E8" s="5"/>
      <c r="F8" s="5"/>
      <c r="G8" s="5"/>
      <c r="H8" s="5"/>
      <c r="I8" s="5"/>
      <c r="J8" s="5"/>
      <c r="K8" s="5"/>
      <c r="L8" s="5"/>
      <c r="M8" s="5"/>
      <c r="N8" s="5"/>
      <c r="O8" s="5"/>
      <c r="P8" s="5"/>
      <c r="Q8" s="5"/>
      <c r="R8" s="5"/>
      <c r="S8" s="5"/>
      <c r="T8" s="5"/>
      <c r="U8" s="5"/>
      <c r="V8" s="5"/>
      <c r="W8" s="5"/>
      <c r="X8" s="5"/>
    </row>
    <row r="9" spans="1:27" x14ac:dyDescent="0.3">
      <c r="A9" s="5"/>
      <c r="B9" s="5"/>
      <c r="C9" s="5"/>
      <c r="D9" s="5"/>
      <c r="E9" s="5"/>
      <c r="F9" s="5"/>
      <c r="G9" s="5"/>
      <c r="H9" s="5"/>
      <c r="I9" s="5"/>
      <c r="J9" s="5"/>
      <c r="K9" s="5"/>
      <c r="L9" s="5"/>
      <c r="M9" s="5"/>
      <c r="N9" s="5"/>
      <c r="O9" s="5"/>
      <c r="P9" s="5"/>
      <c r="Q9" s="5"/>
      <c r="R9" s="5"/>
      <c r="S9" s="5"/>
      <c r="T9" s="5"/>
      <c r="U9" s="5"/>
      <c r="V9" s="5"/>
      <c r="W9" s="5"/>
      <c r="X9" s="5"/>
      <c r="AA9" s="10"/>
    </row>
    <row r="10" spans="1:27" x14ac:dyDescent="0.3">
      <c r="A10" s="5"/>
      <c r="B10" s="5"/>
      <c r="C10" s="5"/>
      <c r="D10" s="5"/>
      <c r="E10" s="5"/>
      <c r="F10" s="5"/>
      <c r="G10" s="5"/>
      <c r="H10" s="5"/>
      <c r="I10" s="5"/>
      <c r="J10" s="5"/>
      <c r="K10" s="5"/>
      <c r="L10" s="5"/>
      <c r="M10" s="5"/>
      <c r="N10" s="5"/>
      <c r="O10" s="5"/>
      <c r="P10" s="5"/>
      <c r="Q10" s="5"/>
      <c r="R10" s="5"/>
      <c r="S10" s="5"/>
      <c r="T10" s="5"/>
      <c r="U10" s="5"/>
      <c r="V10" s="5"/>
      <c r="W10" s="5"/>
      <c r="X10" s="5"/>
    </row>
    <row r="11" spans="1:27" x14ac:dyDescent="0.3">
      <c r="A11" s="5"/>
      <c r="B11" s="5"/>
      <c r="C11" s="5"/>
      <c r="D11" s="5"/>
      <c r="E11" s="5"/>
      <c r="F11" s="5"/>
      <c r="G11" s="5"/>
      <c r="H11" s="5"/>
      <c r="I11" s="5"/>
      <c r="J11" s="5"/>
      <c r="K11" s="5"/>
      <c r="L11" s="5"/>
      <c r="M11" s="5"/>
      <c r="N11" s="5"/>
      <c r="O11" s="5"/>
      <c r="P11" s="5"/>
      <c r="Q11" s="5"/>
      <c r="R11" s="5"/>
      <c r="S11" s="5"/>
      <c r="T11" s="5"/>
      <c r="U11" s="5"/>
      <c r="V11" s="5"/>
      <c r="W11" s="5"/>
      <c r="X11" s="5"/>
    </row>
    <row r="12" spans="1:27" x14ac:dyDescent="0.3">
      <c r="A12" s="5"/>
      <c r="B12" s="5"/>
      <c r="C12" s="5"/>
      <c r="D12" s="5"/>
      <c r="E12" s="5"/>
      <c r="F12" s="5"/>
      <c r="G12" s="5"/>
      <c r="H12" s="5"/>
      <c r="I12" s="5"/>
      <c r="J12" s="5"/>
      <c r="K12" s="5"/>
      <c r="L12" s="5"/>
      <c r="M12" s="5"/>
      <c r="N12" s="5"/>
      <c r="O12" s="5"/>
      <c r="P12" s="5"/>
      <c r="Q12" s="5"/>
      <c r="R12" s="5"/>
      <c r="S12" s="5"/>
      <c r="T12" s="5"/>
      <c r="U12" s="5"/>
      <c r="V12" s="5"/>
      <c r="W12" s="5"/>
      <c r="X12" s="5"/>
    </row>
    <row r="13" spans="1:27" x14ac:dyDescent="0.3">
      <c r="A13" s="5"/>
      <c r="B13" s="5"/>
      <c r="C13" s="5"/>
      <c r="D13" s="5"/>
      <c r="E13" s="5"/>
      <c r="F13" s="5"/>
      <c r="G13" s="5"/>
      <c r="H13" s="5"/>
      <c r="I13" s="5"/>
      <c r="J13" s="5"/>
      <c r="K13" s="5"/>
      <c r="L13" s="5"/>
      <c r="M13" s="5"/>
      <c r="N13" s="5"/>
      <c r="O13" s="5"/>
      <c r="P13" s="5"/>
      <c r="Q13" s="5"/>
      <c r="R13" s="5"/>
      <c r="S13" s="5"/>
      <c r="T13" s="5"/>
      <c r="U13" s="5"/>
      <c r="V13" s="5"/>
      <c r="W13" s="5"/>
      <c r="X13" s="5"/>
    </row>
    <row r="14" spans="1:27" x14ac:dyDescent="0.3">
      <c r="A14" s="5"/>
      <c r="B14" s="5"/>
      <c r="C14" s="5"/>
      <c r="D14" s="5"/>
      <c r="E14" s="5"/>
      <c r="F14" s="5"/>
      <c r="G14" s="5"/>
      <c r="H14" s="5"/>
      <c r="I14" s="5"/>
      <c r="J14" s="5"/>
      <c r="K14" s="5"/>
      <c r="L14" s="5"/>
      <c r="M14" s="5"/>
      <c r="N14" s="5"/>
      <c r="O14" s="5"/>
      <c r="P14" s="5"/>
      <c r="Q14" s="5"/>
      <c r="R14" s="5"/>
      <c r="S14" s="5"/>
      <c r="T14" s="5"/>
      <c r="U14" s="5"/>
      <c r="V14" s="5"/>
      <c r="W14" s="5"/>
      <c r="X14" s="5"/>
    </row>
    <row r="15" spans="1:27" x14ac:dyDescent="0.3">
      <c r="A15" s="5"/>
      <c r="B15" s="5"/>
      <c r="C15" s="5"/>
      <c r="D15" s="5"/>
      <c r="E15" s="5"/>
      <c r="F15" s="5"/>
      <c r="G15" s="5"/>
      <c r="H15" s="5"/>
      <c r="I15" s="5"/>
      <c r="J15" s="5"/>
      <c r="K15" s="5"/>
      <c r="L15" s="5"/>
      <c r="M15" s="5"/>
      <c r="N15" s="5"/>
      <c r="O15" s="5"/>
      <c r="P15" s="5"/>
      <c r="Q15" s="5"/>
      <c r="R15" s="5"/>
      <c r="S15" s="5"/>
      <c r="T15" s="5"/>
      <c r="U15" s="5"/>
      <c r="V15" s="5"/>
      <c r="W15" s="5"/>
      <c r="X15" s="5"/>
    </row>
    <row r="16" spans="1:27"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row r="28" spans="1:24" x14ac:dyDescent="0.3">
      <c r="A28" s="5"/>
      <c r="B28" s="5"/>
      <c r="C28" s="5"/>
      <c r="D28" s="5"/>
      <c r="E28" s="5"/>
      <c r="F28" s="5"/>
      <c r="G28" s="5"/>
      <c r="H28" s="5"/>
      <c r="I28" s="5"/>
      <c r="J28" s="5"/>
      <c r="K28" s="5"/>
      <c r="L28" s="5"/>
      <c r="M28" s="5"/>
      <c r="N28" s="5"/>
      <c r="O28" s="5"/>
      <c r="P28" s="5"/>
      <c r="Q28" s="5"/>
      <c r="R28" s="5"/>
      <c r="S28" s="5"/>
      <c r="T28" s="5"/>
      <c r="U28" s="5"/>
      <c r="V28" s="5"/>
      <c r="W28" s="5"/>
      <c r="X28" s="5"/>
    </row>
    <row r="29" spans="1:24" x14ac:dyDescent="0.3">
      <c r="A29" s="5"/>
      <c r="B29" s="5"/>
      <c r="C29" s="5"/>
      <c r="D29" s="5"/>
      <c r="E29" s="5"/>
      <c r="F29" s="5"/>
      <c r="G29" s="5"/>
      <c r="H29" s="5"/>
      <c r="I29" s="5"/>
      <c r="J29" s="5"/>
      <c r="K29" s="5"/>
      <c r="L29" s="5"/>
      <c r="M29" s="5"/>
      <c r="N29" s="5"/>
      <c r="O29" s="5"/>
      <c r="P29" s="5"/>
      <c r="Q29" s="5"/>
      <c r="R29" s="5"/>
      <c r="S29" s="5"/>
      <c r="T29" s="5"/>
      <c r="U29" s="5"/>
      <c r="V29" s="5"/>
      <c r="W29" s="5"/>
      <c r="X29" s="5"/>
    </row>
    <row r="30" spans="1:24" x14ac:dyDescent="0.3">
      <c r="A30" s="5"/>
      <c r="B30" s="5"/>
      <c r="C30" s="5"/>
      <c r="D30" s="5"/>
      <c r="E30" s="5"/>
      <c r="F30" s="5"/>
      <c r="G30" s="5"/>
      <c r="H30" s="5"/>
      <c r="I30" s="5"/>
      <c r="J30" s="5"/>
      <c r="K30" s="5"/>
      <c r="L30" s="5"/>
      <c r="M30" s="5"/>
      <c r="N30" s="5"/>
      <c r="O30" s="5"/>
      <c r="P30" s="5"/>
      <c r="Q30" s="5"/>
      <c r="R30" s="5"/>
      <c r="S30" s="5"/>
      <c r="T30" s="5"/>
      <c r="U30" s="5"/>
      <c r="V30" s="5"/>
      <c r="W30" s="5"/>
      <c r="X30" s="5"/>
    </row>
    <row r="31" spans="1:24" x14ac:dyDescent="0.3">
      <c r="A31" s="5"/>
      <c r="B31" s="5"/>
      <c r="C31" s="5"/>
      <c r="D31" s="5"/>
      <c r="E31" s="5"/>
      <c r="F31" s="5"/>
      <c r="G31" s="5"/>
      <c r="H31" s="5"/>
      <c r="I31" s="5"/>
      <c r="J31" s="5"/>
      <c r="K31" s="5"/>
      <c r="L31" s="5"/>
      <c r="M31" s="5"/>
      <c r="N31" s="5"/>
      <c r="O31" s="5"/>
      <c r="P31" s="5"/>
      <c r="Q31" s="5"/>
      <c r="R31" s="5"/>
      <c r="S31" s="5"/>
      <c r="T31" s="5"/>
      <c r="U31" s="5"/>
      <c r="V31" s="5"/>
      <c r="W31" s="5"/>
      <c r="X31" s="5"/>
    </row>
    <row r="32" spans="1:24" x14ac:dyDescent="0.3">
      <c r="A32" s="5"/>
      <c r="B32" s="5"/>
      <c r="C32" s="5"/>
      <c r="D32" s="5"/>
      <c r="E32" s="5"/>
      <c r="F32" s="5"/>
      <c r="G32" s="5"/>
      <c r="H32" s="5"/>
      <c r="I32" s="5"/>
      <c r="J32" s="5"/>
      <c r="K32" s="5"/>
      <c r="L32" s="5"/>
      <c r="M32" s="5"/>
      <c r="N32" s="5"/>
      <c r="O32" s="5"/>
      <c r="P32" s="5"/>
      <c r="Q32" s="5"/>
      <c r="R32" s="5"/>
      <c r="S32" s="5"/>
      <c r="T32" s="5"/>
      <c r="U32" s="5"/>
      <c r="V32" s="5"/>
      <c r="W32" s="5"/>
      <c r="X32" s="5"/>
    </row>
    <row r="33" spans="1:24" x14ac:dyDescent="0.3">
      <c r="A33" s="5"/>
      <c r="B33" s="5"/>
      <c r="C33" s="5"/>
      <c r="D33" s="5"/>
      <c r="E33" s="5"/>
      <c r="F33" s="5"/>
      <c r="G33" s="5"/>
      <c r="H33" s="5"/>
      <c r="I33" s="5"/>
      <c r="J33" s="5"/>
      <c r="K33" s="5"/>
      <c r="L33" s="5"/>
      <c r="M33" s="5"/>
      <c r="N33" s="5"/>
      <c r="O33" s="5"/>
      <c r="P33" s="5"/>
      <c r="Q33" s="5"/>
      <c r="R33" s="5"/>
      <c r="S33" s="5"/>
      <c r="T33" s="5"/>
      <c r="U33" s="5"/>
      <c r="V33" s="5"/>
      <c r="W33" s="5"/>
      <c r="X33" s="5"/>
    </row>
    <row r="34" spans="1:24" x14ac:dyDescent="0.3">
      <c r="A34" s="5"/>
      <c r="B34" s="5"/>
      <c r="C34" s="5"/>
      <c r="D34" s="5"/>
      <c r="E34" s="5"/>
      <c r="F34" s="5"/>
      <c r="G34" s="5"/>
      <c r="H34" s="5"/>
      <c r="I34" s="5"/>
      <c r="J34" s="5"/>
      <c r="K34" s="5"/>
      <c r="L34" s="5"/>
      <c r="M34" s="5"/>
      <c r="N34" s="5"/>
      <c r="O34" s="5"/>
      <c r="P34" s="5"/>
      <c r="Q34" s="5"/>
      <c r="R34" s="5"/>
      <c r="S34" s="5"/>
      <c r="T34" s="5"/>
      <c r="U34" s="5"/>
      <c r="V34" s="5"/>
      <c r="W34" s="5"/>
      <c r="X34" s="5"/>
    </row>
    <row r="35" spans="1:24" x14ac:dyDescent="0.3">
      <c r="A35" s="5"/>
      <c r="B35" s="5"/>
      <c r="C35" s="5"/>
      <c r="D35" s="5"/>
      <c r="E35" s="5"/>
      <c r="F35" s="5"/>
      <c r="G35" s="5"/>
      <c r="H35" s="5"/>
      <c r="I35" s="5"/>
      <c r="J35" s="5"/>
      <c r="K35" s="5"/>
      <c r="L35" s="5"/>
      <c r="M35" s="5"/>
      <c r="N35" s="5"/>
      <c r="O35" s="5"/>
      <c r="P35" s="5"/>
      <c r="Q35" s="5"/>
      <c r="R35" s="5"/>
      <c r="S35" s="5"/>
      <c r="T35" s="5"/>
      <c r="U35" s="5"/>
      <c r="V35" s="5"/>
      <c r="W35" s="5"/>
      <c r="X35" s="5"/>
    </row>
    <row r="36" spans="1:24" x14ac:dyDescent="0.3">
      <c r="A36" s="5"/>
      <c r="B36" s="5"/>
      <c r="C36" s="5"/>
      <c r="D36" s="5"/>
      <c r="E36" s="5"/>
      <c r="F36" s="5"/>
      <c r="G36" s="5"/>
      <c r="H36" s="5"/>
      <c r="I36" s="5"/>
      <c r="J36" s="5"/>
      <c r="K36" s="5"/>
      <c r="L36" s="5"/>
      <c r="M36" s="5"/>
      <c r="N36" s="5"/>
      <c r="O36" s="5"/>
      <c r="P36" s="5"/>
      <c r="Q36" s="5"/>
      <c r="R36" s="5"/>
      <c r="S36" s="5"/>
      <c r="T36" s="5"/>
      <c r="U36" s="5"/>
      <c r="V36" s="5"/>
      <c r="W36" s="5"/>
      <c r="X36" s="5"/>
    </row>
    <row r="37" spans="1:24" x14ac:dyDescent="0.3">
      <c r="A37" s="5"/>
      <c r="B37" s="5"/>
      <c r="C37" s="5"/>
      <c r="D37" s="5"/>
      <c r="E37" s="5"/>
      <c r="F37" s="5"/>
      <c r="G37" s="5"/>
      <c r="H37" s="5"/>
      <c r="I37" s="5"/>
      <c r="J37" s="5"/>
      <c r="K37" s="5"/>
      <c r="L37" s="5"/>
      <c r="M37" s="5"/>
      <c r="N37" s="5"/>
      <c r="O37" s="5"/>
      <c r="P37" s="5"/>
      <c r="Q37" s="5"/>
      <c r="R37" s="5"/>
      <c r="S37" s="5"/>
      <c r="T37" s="5"/>
      <c r="U37" s="5"/>
      <c r="V37" s="5"/>
      <c r="W37" s="5"/>
      <c r="X37" s="5"/>
    </row>
    <row r="38" spans="1:24" x14ac:dyDescent="0.3">
      <c r="A38" s="5"/>
      <c r="B38" s="5"/>
      <c r="C38" s="5"/>
      <c r="D38" s="5"/>
      <c r="E38" s="5"/>
      <c r="F38" s="5"/>
      <c r="G38" s="5"/>
      <c r="H38" s="5"/>
      <c r="I38" s="5"/>
      <c r="J38" s="5"/>
      <c r="K38" s="5"/>
      <c r="L38" s="5"/>
      <c r="M38" s="5"/>
      <c r="N38" s="5"/>
      <c r="O38" s="5"/>
      <c r="P38" s="5"/>
      <c r="Q38" s="5"/>
      <c r="R38" s="5"/>
      <c r="S38" s="5"/>
      <c r="T38" s="5"/>
      <c r="U38" s="5"/>
      <c r="V38" s="5"/>
      <c r="W38" s="5"/>
      <c r="X38" s="5"/>
    </row>
    <row r="39" spans="1:24" x14ac:dyDescent="0.3">
      <c r="A39" s="5"/>
      <c r="B39" s="5"/>
      <c r="C39" s="5"/>
      <c r="D39" s="5"/>
      <c r="E39" s="5"/>
      <c r="F39" s="5"/>
      <c r="G39" s="5"/>
      <c r="H39" s="5"/>
      <c r="I39" s="5"/>
      <c r="J39" s="5"/>
      <c r="K39" s="5"/>
      <c r="L39" s="5"/>
      <c r="M39" s="5"/>
      <c r="N39" s="5"/>
      <c r="O39" s="5"/>
      <c r="P39" s="5"/>
      <c r="Q39" s="5"/>
      <c r="R39" s="5"/>
      <c r="S39" s="5"/>
      <c r="T39" s="5"/>
      <c r="U39" s="5"/>
      <c r="V39" s="5"/>
      <c r="W39" s="5"/>
      <c r="X39" s="5"/>
    </row>
    <row r="40" spans="1:24" x14ac:dyDescent="0.3">
      <c r="A40" s="5"/>
      <c r="B40" s="5"/>
      <c r="C40" s="5"/>
      <c r="D40" s="5"/>
      <c r="E40" s="5"/>
      <c r="F40" s="5"/>
      <c r="G40" s="5"/>
      <c r="H40" s="5"/>
      <c r="I40" s="5"/>
      <c r="J40" s="5"/>
      <c r="K40" s="5"/>
      <c r="L40" s="5"/>
      <c r="M40" s="5"/>
      <c r="N40" s="5"/>
      <c r="O40" s="5"/>
      <c r="P40" s="5"/>
      <c r="Q40" s="5"/>
      <c r="R40" s="5"/>
      <c r="S40" s="5"/>
      <c r="T40" s="5"/>
      <c r="U40" s="5"/>
      <c r="V40" s="5"/>
      <c r="W40" s="5"/>
      <c r="X40" s="5"/>
    </row>
    <row r="41" spans="1:24" x14ac:dyDescent="0.3">
      <c r="A41" s="5"/>
      <c r="B41" s="5"/>
      <c r="C41" s="5"/>
      <c r="D41" s="5"/>
      <c r="E41" s="5"/>
      <c r="F41" s="5"/>
      <c r="G41" s="5"/>
      <c r="H41" s="5"/>
      <c r="I41" s="5"/>
      <c r="J41" s="5"/>
      <c r="K41" s="5"/>
      <c r="L41" s="5"/>
      <c r="M41" s="5"/>
      <c r="N41" s="5"/>
      <c r="O41" s="5"/>
      <c r="P41" s="5"/>
      <c r="Q41" s="5"/>
      <c r="R41" s="5"/>
      <c r="S41" s="5"/>
      <c r="T41" s="5"/>
      <c r="U41" s="5"/>
      <c r="V41" s="5"/>
      <c r="W41" s="5"/>
      <c r="X41" s="5"/>
    </row>
    <row r="42" spans="1:24" x14ac:dyDescent="0.3">
      <c r="A42" s="5"/>
      <c r="B42" s="5"/>
      <c r="C42" s="5"/>
      <c r="D42" s="5"/>
      <c r="E42" s="5"/>
      <c r="F42" s="5"/>
      <c r="G42" s="5"/>
      <c r="H42" s="5"/>
      <c r="I42" s="5"/>
      <c r="J42" s="5"/>
      <c r="K42" s="5"/>
      <c r="L42" s="5"/>
      <c r="M42" s="5"/>
      <c r="N42" s="5"/>
      <c r="O42" s="5"/>
      <c r="P42" s="5"/>
      <c r="Q42" s="5"/>
      <c r="R42" s="5"/>
      <c r="S42" s="5"/>
      <c r="T42" s="5"/>
      <c r="U42" s="5"/>
      <c r="V42" s="5"/>
      <c r="W42" s="5"/>
      <c r="X42" s="5"/>
    </row>
    <row r="43" spans="1:24" x14ac:dyDescent="0.3">
      <c r="A43" s="5"/>
      <c r="B43" s="5"/>
      <c r="C43" s="5"/>
      <c r="D43" s="5"/>
      <c r="E43" s="5"/>
      <c r="F43" s="5"/>
      <c r="G43" s="5"/>
      <c r="H43" s="5"/>
      <c r="I43" s="5"/>
      <c r="J43" s="5"/>
      <c r="K43" s="5"/>
      <c r="L43" s="5"/>
      <c r="M43" s="5"/>
      <c r="N43" s="5"/>
      <c r="O43" s="5"/>
      <c r="P43" s="5"/>
      <c r="Q43" s="5"/>
      <c r="R43" s="5"/>
      <c r="S43" s="5"/>
      <c r="T43" s="5"/>
      <c r="U43" s="5"/>
      <c r="V43" s="5"/>
      <c r="W43" s="5"/>
      <c r="X43" s="5"/>
    </row>
    <row r="44" spans="1:24" x14ac:dyDescent="0.3">
      <c r="A44" s="5"/>
      <c r="B44" s="5"/>
      <c r="C44" s="5"/>
      <c r="D44" s="5"/>
      <c r="E44" s="5"/>
      <c r="F44" s="5"/>
      <c r="G44" s="5"/>
      <c r="H44" s="5"/>
      <c r="I44" s="5"/>
      <c r="J44" s="5"/>
      <c r="K44" s="5"/>
      <c r="L44" s="5"/>
      <c r="M44" s="5"/>
      <c r="N44" s="5"/>
      <c r="O44" s="5"/>
      <c r="P44" s="5"/>
      <c r="Q44" s="5"/>
      <c r="R44" s="5"/>
      <c r="S44" s="5"/>
      <c r="T44" s="5"/>
      <c r="U44" s="5"/>
      <c r="V44" s="5"/>
      <c r="W44" s="5"/>
      <c r="X44" s="5"/>
    </row>
    <row r="45" spans="1:24" x14ac:dyDescent="0.3">
      <c r="A45" s="5"/>
      <c r="B45" s="5"/>
      <c r="C45" s="5"/>
      <c r="D45" s="5"/>
      <c r="E45" s="5"/>
      <c r="F45" s="5"/>
      <c r="G45" s="5"/>
      <c r="H45" s="5"/>
      <c r="I45" s="5"/>
      <c r="J45" s="5"/>
      <c r="K45" s="5"/>
      <c r="L45" s="5"/>
      <c r="M45" s="5"/>
      <c r="N45" s="5"/>
      <c r="O45" s="5"/>
      <c r="P45" s="5"/>
      <c r="Q45" s="5"/>
      <c r="R45" s="5"/>
      <c r="S45" s="5"/>
      <c r="T45" s="5"/>
      <c r="U45" s="5"/>
      <c r="V45" s="5"/>
      <c r="W45" s="5"/>
      <c r="X45" s="5"/>
    </row>
    <row r="46" spans="1:24" x14ac:dyDescent="0.3">
      <c r="A46" s="5"/>
      <c r="B46" s="5"/>
      <c r="C46" s="5"/>
      <c r="D46" s="5"/>
      <c r="E46" s="5"/>
      <c r="F46" s="5"/>
      <c r="G46" s="5"/>
      <c r="H46" s="5"/>
      <c r="I46" s="5"/>
      <c r="J46" s="5"/>
      <c r="K46" s="5"/>
      <c r="L46" s="5"/>
      <c r="M46" s="5"/>
      <c r="N46" s="5"/>
      <c r="O46" s="5"/>
      <c r="P46" s="5"/>
      <c r="Q46" s="5"/>
      <c r="R46" s="5"/>
      <c r="S46" s="5"/>
      <c r="T46" s="5"/>
      <c r="U46" s="5"/>
      <c r="V46" s="5"/>
      <c r="W46" s="5"/>
      <c r="X46" s="5"/>
    </row>
    <row r="47" spans="1:24" x14ac:dyDescent="0.3">
      <c r="A47" s="5"/>
      <c r="B47" s="5"/>
      <c r="C47" s="5"/>
      <c r="D47" s="5"/>
      <c r="E47" s="5"/>
      <c r="F47" s="5"/>
      <c r="G47" s="5"/>
      <c r="H47" s="5"/>
      <c r="I47" s="5"/>
      <c r="J47" s="5"/>
      <c r="K47" s="5"/>
      <c r="L47" s="5"/>
      <c r="M47" s="5"/>
      <c r="N47" s="5"/>
      <c r="O47" s="5"/>
      <c r="P47" s="5"/>
      <c r="Q47" s="5"/>
      <c r="R47" s="5"/>
      <c r="S47" s="5"/>
      <c r="T47" s="5"/>
      <c r="U47" s="5"/>
      <c r="V47" s="5"/>
      <c r="W47" s="5"/>
      <c r="X47" s="5"/>
    </row>
    <row r="48" spans="1:24" x14ac:dyDescent="0.3">
      <c r="A48" s="5"/>
      <c r="B48" s="5"/>
      <c r="C48" s="5"/>
      <c r="D48" s="5"/>
      <c r="E48" s="5"/>
      <c r="F48" s="5"/>
      <c r="G48" s="5"/>
      <c r="H48" s="5"/>
      <c r="I48" s="5"/>
      <c r="J48" s="5"/>
      <c r="K48" s="5"/>
      <c r="L48" s="5"/>
      <c r="M48" s="5"/>
      <c r="N48" s="5"/>
      <c r="O48" s="5"/>
      <c r="P48" s="5"/>
      <c r="Q48" s="5"/>
      <c r="R48" s="5"/>
      <c r="S48" s="5"/>
      <c r="T48" s="5"/>
      <c r="U48" s="5"/>
      <c r="V48" s="5"/>
      <c r="W48" s="5"/>
      <c r="X48" s="5"/>
    </row>
    <row r="49" spans="1:24" x14ac:dyDescent="0.3">
      <c r="A49" s="5"/>
      <c r="B49" s="5"/>
      <c r="C49" s="5"/>
      <c r="D49" s="5"/>
      <c r="E49" s="5"/>
      <c r="F49" s="5"/>
      <c r="G49" s="5"/>
      <c r="H49" s="5"/>
      <c r="I49" s="5"/>
      <c r="J49" s="5"/>
      <c r="K49" s="5"/>
      <c r="L49" s="5"/>
      <c r="M49" s="5"/>
      <c r="N49" s="5"/>
      <c r="O49" s="5"/>
      <c r="P49" s="5"/>
      <c r="Q49" s="5"/>
      <c r="R49" s="5"/>
      <c r="S49" s="5"/>
      <c r="T49" s="5"/>
      <c r="U49" s="5"/>
      <c r="V49" s="5"/>
      <c r="W49" s="5"/>
      <c r="X49" s="5"/>
    </row>
    <row r="50" spans="1:24" x14ac:dyDescent="0.3">
      <c r="A50" s="5"/>
      <c r="B50" s="5"/>
      <c r="C50" s="5"/>
      <c r="D50" s="5"/>
      <c r="E50" s="5"/>
      <c r="F50" s="5"/>
      <c r="G50" s="5"/>
      <c r="H50" s="5"/>
      <c r="I50" s="5"/>
      <c r="J50" s="5"/>
      <c r="K50" s="5"/>
      <c r="L50" s="5"/>
      <c r="M50" s="5"/>
      <c r="N50" s="5"/>
      <c r="O50" s="5"/>
      <c r="P50" s="5"/>
      <c r="Q50" s="5"/>
      <c r="R50" s="5"/>
      <c r="S50" s="5"/>
      <c r="T50" s="5"/>
      <c r="U50" s="5"/>
      <c r="V50" s="5"/>
      <c r="W50" s="5"/>
      <c r="X50" s="5"/>
    </row>
  </sheetData>
  <pageMargins left="0.25" right="0.25" top="0.75" bottom="0.75" header="0.3" footer="0.3"/>
  <pageSetup paperSize="9" scale="33"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Dashboad_Image</vt:lpstr>
      <vt:lpstr>Data</vt:lpstr>
      <vt:lpstr>KPI</vt:lpstr>
      <vt:lpstr>Rating</vt:lpstr>
      <vt:lpstr>Employee by Gender</vt:lpstr>
      <vt:lpstr>Education-wise Attrition</vt:lpstr>
      <vt:lpstr>Attrition By Job Role</vt:lpstr>
      <vt:lpstr>Department-wise Attrition</vt:lpstr>
      <vt:lpstr>Attrition By Age-Group</vt:lpstr>
      <vt:lpstr>Attrition By Marriage Status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Atif hassan</cp:lastModifiedBy>
  <cp:lastPrinted>2026-04-07T08:43:10Z</cp:lastPrinted>
  <dcterms:created xsi:type="dcterms:W3CDTF">2022-12-29T16:02:46Z</dcterms:created>
  <dcterms:modified xsi:type="dcterms:W3CDTF">2026-04-07T08:45:50Z</dcterms:modified>
</cp:coreProperties>
</file>